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Yellow THN 2025\DATA SYSTEM PAK OKTA\"/>
    </mc:Choice>
  </mc:AlternateContent>
  <xr:revisionPtr revIDLastSave="0" documentId="13_ncr:1_{B76534F4-E2B5-43ED-BC73-71FCAF24CF8F}" xr6:coauthVersionLast="47" xr6:coauthVersionMax="47" xr10:uidLastSave="{00000000-0000-0000-0000-000000000000}"/>
  <bookViews>
    <workbookView xWindow="-110" yWindow="-110" windowWidth="19420" windowHeight="10300" activeTab="6" xr2:uid="{2E1C5FBF-22A4-422C-8097-99A92A7F0D13}"/>
  </bookViews>
  <sheets>
    <sheet name="Sunter1" sheetId="9" r:id="rId1"/>
    <sheet name="Sunter3" sheetId="8" r:id="rId2"/>
    <sheet name="Sunter4" sheetId="3" r:id="rId3"/>
    <sheet name="T Duren" sheetId="10" r:id="rId4"/>
    <sheet name="Raden Saleh " sheetId="7" r:id="rId5"/>
    <sheet name="Lebak Bulus" sheetId="4" r:id="rId6"/>
    <sheet name="Alsut" sheetId="12" r:id="rId7"/>
    <sheet name="BSD" sheetId="2" r:id="rId8"/>
    <sheet name="GM" sheetId="11" r:id="rId9"/>
    <sheet name="Cikupa" sheetId="5" r:id="rId10"/>
    <sheet name="PIK" sheetId="1" r:id="rId11"/>
  </sheets>
  <externalReferences>
    <externalReference r:id="rId12"/>
  </externalReferences>
  <definedNames>
    <definedName name="AA" localSheetId="7">#REF!</definedName>
    <definedName name="AA">#REF!</definedName>
    <definedName name="DaftarAkun" localSheetId="7">#REF!</definedName>
    <definedName name="DaftarAkun">#REF!</definedName>
    <definedName name="KodeAkun" localSheetId="7">#REF!</definedName>
    <definedName name="KodeAkun">#REF!</definedName>
    <definedName name="NamaAkun" localSheetId="7">#REF!</definedName>
    <definedName name="NamaAkun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4" i="12" l="1"/>
  <c r="C97" i="10"/>
  <c r="F186" i="9"/>
  <c r="E186" i="9"/>
  <c r="D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K475" i="7"/>
  <c r="E475" i="7"/>
  <c r="I474" i="7"/>
  <c r="H474" i="7"/>
  <c r="G474" i="7"/>
  <c r="J473" i="7"/>
  <c r="I473" i="7"/>
  <c r="H473" i="7"/>
  <c r="G473" i="7"/>
  <c r="J472" i="7"/>
  <c r="I472" i="7"/>
  <c r="H472" i="7"/>
  <c r="G472" i="7"/>
  <c r="J471" i="7"/>
  <c r="I471" i="7"/>
  <c r="H471" i="7"/>
  <c r="G471" i="7"/>
  <c r="J470" i="7"/>
  <c r="I470" i="7"/>
  <c r="H470" i="7"/>
  <c r="G470" i="7"/>
  <c r="J469" i="7"/>
  <c r="I469" i="7"/>
  <c r="H469" i="7"/>
  <c r="G469" i="7"/>
  <c r="J468" i="7"/>
  <c r="I468" i="7"/>
  <c r="H468" i="7"/>
  <c r="G468" i="7"/>
  <c r="J467" i="7"/>
  <c r="I467" i="7"/>
  <c r="H467" i="7"/>
  <c r="G467" i="7"/>
  <c r="J466" i="7"/>
  <c r="I466" i="7"/>
  <c r="H466" i="7"/>
  <c r="G466" i="7"/>
  <c r="J465" i="7"/>
  <c r="I465" i="7"/>
  <c r="H465" i="7"/>
  <c r="G465" i="7"/>
  <c r="J464" i="7"/>
  <c r="I464" i="7"/>
  <c r="H464" i="7"/>
  <c r="G464" i="7"/>
  <c r="J463" i="7"/>
  <c r="I463" i="7"/>
  <c r="H463" i="7"/>
  <c r="G463" i="7"/>
  <c r="J462" i="7"/>
  <c r="I462" i="7"/>
  <c r="H462" i="7"/>
  <c r="G462" i="7"/>
  <c r="J461" i="7"/>
  <c r="I461" i="7"/>
  <c r="H461" i="7"/>
  <c r="G461" i="7"/>
  <c r="J460" i="7"/>
  <c r="I460" i="7"/>
  <c r="H460" i="7"/>
  <c r="G460" i="7"/>
  <c r="J459" i="7"/>
  <c r="I459" i="7"/>
  <c r="H459" i="7"/>
  <c r="G459" i="7"/>
  <c r="J458" i="7"/>
  <c r="I458" i="7"/>
  <c r="H458" i="7"/>
  <c r="G458" i="7"/>
  <c r="J457" i="7"/>
  <c r="I457" i="7"/>
  <c r="H457" i="7"/>
  <c r="G457" i="7"/>
  <c r="J456" i="7"/>
  <c r="I456" i="7"/>
  <c r="H456" i="7"/>
  <c r="G456" i="7"/>
  <c r="J455" i="7"/>
  <c r="I455" i="7"/>
  <c r="H455" i="7"/>
  <c r="G455" i="7"/>
  <c r="J454" i="7"/>
  <c r="I454" i="7"/>
  <c r="H454" i="7"/>
  <c r="G454" i="7"/>
  <c r="J453" i="7"/>
  <c r="I453" i="7"/>
  <c r="H453" i="7"/>
  <c r="G453" i="7"/>
  <c r="J452" i="7"/>
  <c r="I452" i="7"/>
  <c r="H452" i="7"/>
  <c r="G452" i="7"/>
  <c r="J451" i="7"/>
  <c r="I451" i="7"/>
  <c r="H451" i="7"/>
  <c r="G451" i="7"/>
  <c r="J450" i="7"/>
  <c r="I450" i="7"/>
  <c r="H450" i="7"/>
  <c r="G450" i="7"/>
  <c r="J449" i="7"/>
  <c r="I449" i="7"/>
  <c r="H449" i="7"/>
  <c r="G449" i="7"/>
  <c r="J448" i="7"/>
  <c r="I448" i="7"/>
  <c r="H448" i="7"/>
  <c r="G448" i="7"/>
  <c r="J447" i="7"/>
  <c r="I447" i="7"/>
  <c r="H447" i="7"/>
  <c r="G447" i="7"/>
  <c r="J446" i="7"/>
  <c r="I446" i="7"/>
  <c r="H446" i="7"/>
  <c r="G446" i="7"/>
  <c r="J445" i="7"/>
  <c r="I445" i="7"/>
  <c r="H445" i="7"/>
  <c r="G445" i="7"/>
  <c r="J444" i="7"/>
  <c r="I444" i="7"/>
  <c r="H444" i="7"/>
  <c r="G444" i="7"/>
  <c r="J443" i="7"/>
  <c r="I443" i="7"/>
  <c r="H443" i="7"/>
  <c r="G443" i="7"/>
  <c r="J442" i="7"/>
  <c r="I442" i="7"/>
  <c r="H442" i="7"/>
  <c r="G442" i="7"/>
  <c r="J441" i="7"/>
  <c r="I441" i="7"/>
  <c r="H441" i="7"/>
  <c r="G441" i="7"/>
  <c r="J440" i="7"/>
  <c r="I440" i="7"/>
  <c r="H440" i="7"/>
  <c r="G440" i="7"/>
  <c r="J439" i="7"/>
  <c r="I439" i="7"/>
  <c r="H439" i="7"/>
  <c r="G439" i="7"/>
  <c r="J438" i="7"/>
  <c r="I438" i="7"/>
  <c r="H438" i="7"/>
  <c r="G438" i="7"/>
  <c r="J437" i="7"/>
  <c r="I437" i="7"/>
  <c r="H437" i="7"/>
  <c r="G437" i="7"/>
  <c r="J436" i="7"/>
  <c r="I436" i="7"/>
  <c r="H436" i="7"/>
  <c r="G436" i="7"/>
  <c r="J435" i="7"/>
  <c r="I435" i="7"/>
  <c r="H435" i="7"/>
  <c r="G435" i="7"/>
  <c r="J434" i="7"/>
  <c r="I434" i="7"/>
  <c r="H434" i="7"/>
  <c r="G434" i="7"/>
  <c r="J433" i="7"/>
  <c r="I433" i="7"/>
  <c r="H433" i="7"/>
  <c r="G433" i="7"/>
  <c r="J432" i="7"/>
  <c r="I432" i="7"/>
  <c r="H432" i="7"/>
  <c r="G432" i="7"/>
  <c r="J431" i="7"/>
  <c r="I431" i="7"/>
  <c r="H431" i="7"/>
  <c r="G431" i="7"/>
  <c r="J430" i="7"/>
  <c r="I430" i="7"/>
  <c r="H430" i="7"/>
  <c r="G430" i="7"/>
  <c r="J429" i="7"/>
  <c r="I429" i="7"/>
  <c r="H429" i="7"/>
  <c r="G429" i="7"/>
  <c r="J428" i="7"/>
  <c r="I428" i="7"/>
  <c r="H428" i="7"/>
  <c r="G428" i="7"/>
  <c r="J427" i="7"/>
  <c r="I427" i="7"/>
  <c r="H427" i="7"/>
  <c r="G427" i="7"/>
  <c r="J426" i="7"/>
  <c r="I426" i="7"/>
  <c r="H426" i="7"/>
  <c r="G426" i="7"/>
  <c r="J425" i="7"/>
  <c r="I425" i="7"/>
  <c r="H425" i="7"/>
  <c r="G425" i="7"/>
  <c r="J424" i="7"/>
  <c r="I424" i="7"/>
  <c r="H424" i="7"/>
  <c r="G424" i="7"/>
  <c r="J423" i="7"/>
  <c r="I423" i="7"/>
  <c r="H423" i="7"/>
  <c r="G423" i="7"/>
  <c r="J422" i="7"/>
  <c r="I422" i="7"/>
  <c r="H422" i="7"/>
  <c r="G422" i="7"/>
  <c r="J421" i="7"/>
  <c r="I421" i="7"/>
  <c r="H421" i="7"/>
  <c r="G421" i="7"/>
  <c r="J420" i="7"/>
  <c r="I420" i="7"/>
  <c r="H420" i="7"/>
  <c r="G420" i="7"/>
  <c r="J419" i="7"/>
  <c r="I419" i="7"/>
  <c r="H419" i="7"/>
  <c r="G419" i="7"/>
  <c r="J418" i="7"/>
  <c r="I418" i="7"/>
  <c r="H418" i="7"/>
  <c r="G418" i="7"/>
  <c r="J417" i="7"/>
  <c r="I417" i="7"/>
  <c r="H417" i="7"/>
  <c r="G417" i="7"/>
  <c r="J416" i="7"/>
  <c r="I416" i="7"/>
  <c r="H416" i="7"/>
  <c r="G416" i="7"/>
  <c r="J415" i="7"/>
  <c r="I415" i="7"/>
  <c r="H415" i="7"/>
  <c r="G415" i="7"/>
  <c r="J414" i="7"/>
  <c r="I414" i="7"/>
  <c r="H414" i="7"/>
  <c r="G414" i="7"/>
  <c r="J413" i="7"/>
  <c r="I413" i="7"/>
  <c r="H413" i="7"/>
  <c r="G413" i="7"/>
  <c r="J412" i="7"/>
  <c r="I412" i="7"/>
  <c r="H412" i="7"/>
  <c r="G412" i="7"/>
  <c r="J411" i="7"/>
  <c r="I411" i="7"/>
  <c r="H411" i="7"/>
  <c r="G411" i="7"/>
  <c r="J410" i="7"/>
  <c r="I410" i="7"/>
  <c r="H410" i="7"/>
  <c r="G410" i="7"/>
  <c r="J409" i="7"/>
  <c r="I409" i="7"/>
  <c r="H409" i="7"/>
  <c r="G409" i="7"/>
  <c r="J408" i="7"/>
  <c r="I408" i="7"/>
  <c r="H408" i="7"/>
  <c r="G408" i="7"/>
  <c r="J407" i="7"/>
  <c r="I407" i="7"/>
  <c r="H407" i="7"/>
  <c r="G407" i="7"/>
  <c r="J406" i="7"/>
  <c r="I406" i="7"/>
  <c r="H406" i="7"/>
  <c r="G406" i="7"/>
  <c r="J405" i="7"/>
  <c r="I405" i="7"/>
  <c r="H405" i="7"/>
  <c r="G405" i="7"/>
  <c r="J404" i="7"/>
  <c r="I404" i="7"/>
  <c r="H404" i="7"/>
  <c r="G404" i="7"/>
  <c r="J403" i="7"/>
  <c r="I403" i="7"/>
  <c r="H403" i="7"/>
  <c r="G403" i="7"/>
  <c r="J402" i="7"/>
  <c r="I402" i="7"/>
  <c r="H402" i="7"/>
  <c r="G402" i="7"/>
  <c r="J401" i="7"/>
  <c r="I401" i="7"/>
  <c r="H401" i="7"/>
  <c r="G401" i="7"/>
  <c r="J400" i="7"/>
  <c r="I400" i="7"/>
  <c r="H400" i="7"/>
  <c r="G400" i="7"/>
  <c r="J399" i="7"/>
  <c r="I399" i="7"/>
  <c r="H399" i="7"/>
  <c r="G399" i="7"/>
  <c r="J398" i="7"/>
  <c r="I398" i="7"/>
  <c r="H398" i="7"/>
  <c r="G398" i="7"/>
  <c r="J397" i="7"/>
  <c r="I397" i="7"/>
  <c r="H397" i="7"/>
  <c r="G397" i="7"/>
  <c r="J396" i="7"/>
  <c r="I396" i="7"/>
  <c r="H396" i="7"/>
  <c r="G396" i="7"/>
  <c r="J395" i="7"/>
  <c r="I395" i="7"/>
  <c r="H395" i="7"/>
  <c r="G395" i="7"/>
  <c r="J394" i="7"/>
  <c r="I394" i="7"/>
  <c r="H394" i="7"/>
  <c r="G394" i="7"/>
  <c r="J393" i="7"/>
  <c r="I393" i="7"/>
  <c r="H393" i="7"/>
  <c r="G393" i="7"/>
  <c r="J392" i="7"/>
  <c r="I392" i="7"/>
  <c r="H392" i="7"/>
  <c r="G392" i="7"/>
  <c r="J391" i="7"/>
  <c r="I391" i="7"/>
  <c r="H391" i="7"/>
  <c r="G391" i="7"/>
  <c r="J390" i="7"/>
  <c r="I390" i="7"/>
  <c r="H390" i="7"/>
  <c r="G390" i="7"/>
  <c r="J389" i="7"/>
  <c r="I389" i="7"/>
  <c r="H389" i="7"/>
  <c r="G389" i="7"/>
  <c r="J388" i="7"/>
  <c r="I388" i="7"/>
  <c r="H388" i="7"/>
  <c r="G388" i="7"/>
  <c r="J387" i="7"/>
  <c r="I387" i="7"/>
  <c r="H387" i="7"/>
  <c r="G387" i="7"/>
  <c r="J386" i="7"/>
  <c r="I386" i="7"/>
  <c r="H386" i="7"/>
  <c r="G386" i="7"/>
  <c r="J385" i="7"/>
  <c r="I385" i="7"/>
  <c r="H385" i="7"/>
  <c r="G385" i="7"/>
  <c r="J384" i="7"/>
  <c r="I384" i="7"/>
  <c r="H384" i="7"/>
  <c r="G384" i="7"/>
  <c r="J383" i="7"/>
  <c r="I383" i="7"/>
  <c r="H383" i="7"/>
  <c r="G383" i="7"/>
  <c r="J382" i="7"/>
  <c r="I382" i="7"/>
  <c r="H382" i="7"/>
  <c r="G382" i="7"/>
  <c r="J381" i="7"/>
  <c r="I381" i="7"/>
  <c r="H381" i="7"/>
  <c r="G381" i="7"/>
  <c r="J380" i="7"/>
  <c r="I380" i="7"/>
  <c r="H380" i="7"/>
  <c r="G380" i="7"/>
  <c r="J379" i="7"/>
  <c r="I379" i="7"/>
  <c r="H379" i="7"/>
  <c r="G379" i="7"/>
  <c r="J378" i="7"/>
  <c r="I378" i="7"/>
  <c r="H378" i="7"/>
  <c r="G378" i="7"/>
  <c r="J377" i="7"/>
  <c r="I377" i="7"/>
  <c r="H377" i="7"/>
  <c r="G377" i="7"/>
  <c r="J376" i="7"/>
  <c r="I376" i="7"/>
  <c r="H376" i="7"/>
  <c r="G376" i="7"/>
  <c r="J375" i="7"/>
  <c r="I375" i="7"/>
  <c r="H375" i="7"/>
  <c r="G375" i="7"/>
  <c r="J374" i="7"/>
  <c r="I374" i="7"/>
  <c r="H374" i="7"/>
  <c r="G374" i="7"/>
  <c r="J373" i="7"/>
  <c r="I373" i="7"/>
  <c r="H373" i="7"/>
  <c r="G373" i="7"/>
  <c r="J372" i="7"/>
  <c r="I372" i="7"/>
  <c r="H372" i="7"/>
  <c r="G372" i="7"/>
  <c r="J371" i="7"/>
  <c r="I371" i="7"/>
  <c r="H371" i="7"/>
  <c r="G371" i="7"/>
  <c r="J370" i="7"/>
  <c r="I370" i="7"/>
  <c r="H370" i="7"/>
  <c r="G370" i="7"/>
  <c r="J369" i="7"/>
  <c r="I369" i="7"/>
  <c r="H369" i="7"/>
  <c r="G369" i="7"/>
  <c r="J368" i="7"/>
  <c r="I368" i="7"/>
  <c r="H368" i="7"/>
  <c r="G368" i="7"/>
  <c r="J367" i="7"/>
  <c r="I367" i="7"/>
  <c r="H367" i="7"/>
  <c r="G367" i="7"/>
  <c r="J366" i="7"/>
  <c r="I366" i="7"/>
  <c r="H366" i="7"/>
  <c r="G366" i="7"/>
  <c r="J365" i="7"/>
  <c r="I365" i="7"/>
  <c r="H365" i="7"/>
  <c r="G365" i="7"/>
  <c r="J364" i="7"/>
  <c r="I364" i="7"/>
  <c r="H364" i="7"/>
  <c r="G364" i="7"/>
  <c r="J363" i="7"/>
  <c r="I363" i="7"/>
  <c r="H363" i="7"/>
  <c r="G363" i="7"/>
  <c r="J362" i="7"/>
  <c r="I362" i="7"/>
  <c r="H362" i="7"/>
  <c r="G362" i="7"/>
  <c r="J361" i="7"/>
  <c r="I361" i="7"/>
  <c r="H361" i="7"/>
  <c r="G361" i="7"/>
  <c r="J360" i="7"/>
  <c r="I360" i="7"/>
  <c r="H360" i="7"/>
  <c r="G360" i="7"/>
  <c r="J359" i="7"/>
  <c r="I359" i="7"/>
  <c r="H359" i="7"/>
  <c r="G359" i="7"/>
  <c r="J358" i="7"/>
  <c r="I358" i="7"/>
  <c r="H358" i="7"/>
  <c r="G358" i="7"/>
  <c r="J357" i="7"/>
  <c r="I357" i="7"/>
  <c r="H357" i="7"/>
  <c r="G357" i="7"/>
  <c r="J356" i="7"/>
  <c r="I356" i="7"/>
  <c r="H356" i="7"/>
  <c r="G356" i="7"/>
  <c r="J355" i="7"/>
  <c r="I355" i="7"/>
  <c r="H355" i="7"/>
  <c r="G355" i="7"/>
  <c r="J354" i="7"/>
  <c r="I354" i="7"/>
  <c r="H354" i="7"/>
  <c r="G354" i="7"/>
  <c r="J353" i="7"/>
  <c r="I353" i="7"/>
  <c r="H353" i="7"/>
  <c r="G353" i="7"/>
  <c r="J352" i="7"/>
  <c r="I352" i="7"/>
  <c r="H352" i="7"/>
  <c r="G352" i="7"/>
  <c r="J351" i="7"/>
  <c r="I351" i="7"/>
  <c r="H351" i="7"/>
  <c r="G351" i="7"/>
  <c r="J350" i="7"/>
  <c r="I350" i="7"/>
  <c r="H350" i="7"/>
  <c r="G350" i="7"/>
  <c r="J349" i="7"/>
  <c r="I349" i="7"/>
  <c r="H349" i="7"/>
  <c r="G349" i="7"/>
  <c r="J348" i="7"/>
  <c r="I348" i="7"/>
  <c r="H348" i="7"/>
  <c r="G348" i="7"/>
  <c r="J347" i="7"/>
  <c r="I347" i="7"/>
  <c r="H347" i="7"/>
  <c r="G347" i="7"/>
  <c r="J346" i="7"/>
  <c r="I346" i="7"/>
  <c r="H346" i="7"/>
  <c r="G346" i="7"/>
  <c r="J345" i="7"/>
  <c r="I345" i="7"/>
  <c r="H345" i="7"/>
  <c r="G345" i="7"/>
  <c r="J344" i="7"/>
  <c r="I344" i="7"/>
  <c r="H344" i="7"/>
  <c r="G344" i="7"/>
  <c r="J343" i="7"/>
  <c r="I343" i="7"/>
  <c r="H343" i="7"/>
  <c r="G343" i="7"/>
  <c r="J342" i="7"/>
  <c r="I342" i="7"/>
  <c r="H342" i="7"/>
  <c r="G342" i="7"/>
  <c r="J341" i="7"/>
  <c r="I341" i="7"/>
  <c r="H341" i="7"/>
  <c r="G341" i="7"/>
  <c r="J340" i="7"/>
  <c r="I340" i="7"/>
  <c r="H340" i="7"/>
  <c r="G340" i="7"/>
  <c r="J339" i="7"/>
  <c r="I339" i="7"/>
  <c r="H339" i="7"/>
  <c r="G339" i="7"/>
  <c r="J338" i="7"/>
  <c r="I338" i="7"/>
  <c r="H338" i="7"/>
  <c r="G338" i="7"/>
  <c r="J337" i="7"/>
  <c r="I337" i="7"/>
  <c r="H337" i="7"/>
  <c r="G337" i="7"/>
  <c r="J336" i="7"/>
  <c r="I336" i="7"/>
  <c r="H336" i="7"/>
  <c r="G336" i="7"/>
  <c r="J335" i="7"/>
  <c r="I335" i="7"/>
  <c r="H335" i="7"/>
  <c r="G335" i="7"/>
  <c r="J334" i="7"/>
  <c r="I334" i="7"/>
  <c r="H334" i="7"/>
  <c r="G334" i="7"/>
  <c r="J333" i="7"/>
  <c r="I333" i="7"/>
  <c r="H333" i="7"/>
  <c r="G333" i="7"/>
  <c r="J332" i="7"/>
  <c r="I332" i="7"/>
  <c r="H332" i="7"/>
  <c r="G332" i="7"/>
  <c r="J331" i="7"/>
  <c r="I331" i="7"/>
  <c r="H331" i="7"/>
  <c r="G331" i="7"/>
  <c r="J330" i="7"/>
  <c r="I330" i="7"/>
  <c r="H330" i="7"/>
  <c r="G330" i="7"/>
  <c r="J329" i="7"/>
  <c r="I329" i="7"/>
  <c r="H329" i="7"/>
  <c r="G329" i="7"/>
  <c r="J328" i="7"/>
  <c r="I328" i="7"/>
  <c r="H328" i="7"/>
  <c r="G328" i="7"/>
  <c r="J327" i="7"/>
  <c r="I327" i="7"/>
  <c r="H327" i="7"/>
  <c r="G327" i="7"/>
  <c r="J326" i="7"/>
  <c r="I326" i="7"/>
  <c r="H326" i="7"/>
  <c r="G326" i="7"/>
  <c r="J325" i="7"/>
  <c r="I325" i="7"/>
  <c r="H325" i="7"/>
  <c r="G325" i="7"/>
  <c r="J324" i="7"/>
  <c r="I324" i="7"/>
  <c r="H324" i="7"/>
  <c r="G324" i="7"/>
  <c r="J323" i="7"/>
  <c r="I323" i="7"/>
  <c r="H323" i="7"/>
  <c r="G323" i="7"/>
  <c r="J322" i="7"/>
  <c r="I322" i="7"/>
  <c r="H322" i="7"/>
  <c r="G322" i="7"/>
  <c r="J321" i="7"/>
  <c r="I321" i="7"/>
  <c r="H321" i="7"/>
  <c r="G321" i="7"/>
  <c r="J320" i="7"/>
  <c r="I320" i="7"/>
  <c r="H320" i="7"/>
  <c r="G320" i="7"/>
  <c r="J319" i="7"/>
  <c r="I319" i="7"/>
  <c r="H319" i="7"/>
  <c r="G319" i="7"/>
  <c r="J318" i="7"/>
  <c r="I318" i="7"/>
  <c r="H318" i="7"/>
  <c r="G318" i="7"/>
  <c r="J317" i="7"/>
  <c r="I317" i="7"/>
  <c r="H317" i="7"/>
  <c r="G317" i="7"/>
  <c r="J316" i="7"/>
  <c r="I316" i="7"/>
  <c r="H316" i="7"/>
  <c r="G316" i="7"/>
  <c r="J315" i="7"/>
  <c r="I315" i="7"/>
  <c r="H315" i="7"/>
  <c r="G315" i="7"/>
  <c r="J314" i="7"/>
  <c r="I314" i="7"/>
  <c r="H314" i="7"/>
  <c r="G314" i="7"/>
  <c r="J313" i="7"/>
  <c r="I313" i="7"/>
  <c r="H313" i="7"/>
  <c r="G313" i="7"/>
  <c r="J312" i="7"/>
  <c r="I312" i="7"/>
  <c r="H312" i="7"/>
  <c r="G312" i="7"/>
  <c r="J311" i="7"/>
  <c r="I311" i="7"/>
  <c r="H311" i="7"/>
  <c r="G311" i="7"/>
  <c r="J310" i="7"/>
  <c r="I310" i="7"/>
  <c r="H310" i="7"/>
  <c r="G310" i="7"/>
  <c r="J309" i="7"/>
  <c r="I309" i="7"/>
  <c r="H309" i="7"/>
  <c r="G309" i="7"/>
  <c r="J308" i="7"/>
  <c r="I308" i="7"/>
  <c r="H308" i="7"/>
  <c r="G308" i="7"/>
  <c r="J307" i="7"/>
  <c r="I307" i="7"/>
  <c r="H307" i="7"/>
  <c r="G307" i="7"/>
  <c r="J306" i="7"/>
  <c r="I306" i="7"/>
  <c r="H306" i="7"/>
  <c r="G306" i="7"/>
  <c r="J305" i="7"/>
  <c r="I305" i="7"/>
  <c r="H305" i="7"/>
  <c r="G305" i="7"/>
  <c r="J304" i="7"/>
  <c r="I304" i="7"/>
  <c r="H304" i="7"/>
  <c r="G304" i="7"/>
  <c r="J303" i="7"/>
  <c r="I303" i="7"/>
  <c r="H303" i="7"/>
  <c r="G303" i="7"/>
  <c r="J302" i="7"/>
  <c r="I302" i="7"/>
  <c r="H302" i="7"/>
  <c r="G302" i="7"/>
  <c r="J301" i="7"/>
  <c r="I301" i="7"/>
  <c r="H301" i="7"/>
  <c r="G301" i="7"/>
  <c r="J300" i="7"/>
  <c r="I300" i="7"/>
  <c r="H300" i="7"/>
  <c r="G300" i="7"/>
  <c r="J299" i="7"/>
  <c r="I299" i="7"/>
  <c r="H299" i="7"/>
  <c r="G299" i="7"/>
  <c r="J298" i="7"/>
  <c r="I298" i="7"/>
  <c r="H298" i="7"/>
  <c r="G298" i="7"/>
  <c r="J297" i="7"/>
  <c r="I297" i="7"/>
  <c r="H297" i="7"/>
  <c r="G297" i="7"/>
  <c r="J296" i="7"/>
  <c r="I296" i="7"/>
  <c r="H296" i="7"/>
  <c r="G296" i="7"/>
  <c r="J295" i="7"/>
  <c r="I295" i="7"/>
  <c r="H295" i="7"/>
  <c r="G295" i="7"/>
  <c r="J294" i="7"/>
  <c r="I294" i="7"/>
  <c r="H294" i="7"/>
  <c r="G294" i="7"/>
  <c r="J293" i="7"/>
  <c r="I293" i="7"/>
  <c r="H293" i="7"/>
  <c r="G293" i="7"/>
  <c r="J292" i="7"/>
  <c r="I292" i="7"/>
  <c r="H292" i="7"/>
  <c r="G292" i="7"/>
  <c r="J291" i="7"/>
  <c r="I291" i="7"/>
  <c r="H291" i="7"/>
  <c r="G291" i="7"/>
  <c r="J290" i="7"/>
  <c r="I290" i="7"/>
  <c r="H290" i="7"/>
  <c r="G290" i="7"/>
  <c r="J289" i="7"/>
  <c r="I289" i="7"/>
  <c r="H289" i="7"/>
  <c r="G289" i="7"/>
  <c r="J288" i="7"/>
  <c r="I288" i="7"/>
  <c r="H288" i="7"/>
  <c r="G288" i="7"/>
  <c r="J287" i="7"/>
  <c r="I287" i="7"/>
  <c r="H287" i="7"/>
  <c r="G287" i="7"/>
  <c r="J286" i="7"/>
  <c r="I286" i="7"/>
  <c r="H286" i="7"/>
  <c r="G286" i="7"/>
  <c r="J285" i="7"/>
  <c r="I285" i="7"/>
  <c r="H285" i="7"/>
  <c r="G285" i="7"/>
  <c r="J284" i="7"/>
  <c r="I284" i="7"/>
  <c r="H284" i="7"/>
  <c r="G284" i="7"/>
  <c r="J283" i="7"/>
  <c r="I283" i="7"/>
  <c r="H283" i="7"/>
  <c r="G283" i="7"/>
  <c r="J282" i="7"/>
  <c r="I282" i="7"/>
  <c r="H282" i="7"/>
  <c r="G282" i="7"/>
  <c r="J281" i="7"/>
  <c r="I281" i="7"/>
  <c r="H281" i="7"/>
  <c r="G281" i="7"/>
  <c r="J280" i="7"/>
  <c r="I280" i="7"/>
  <c r="H280" i="7"/>
  <c r="G280" i="7"/>
  <c r="J279" i="7"/>
  <c r="I279" i="7"/>
  <c r="H279" i="7"/>
  <c r="G279" i="7"/>
  <c r="J278" i="7"/>
  <c r="I278" i="7"/>
  <c r="H278" i="7"/>
  <c r="G278" i="7"/>
  <c r="J277" i="7"/>
  <c r="I277" i="7"/>
  <c r="H277" i="7"/>
  <c r="G277" i="7"/>
  <c r="J276" i="7"/>
  <c r="I276" i="7"/>
  <c r="H276" i="7"/>
  <c r="G276" i="7"/>
  <c r="J275" i="7"/>
  <c r="I275" i="7"/>
  <c r="H275" i="7"/>
  <c r="G275" i="7"/>
  <c r="J274" i="7"/>
  <c r="I274" i="7"/>
  <c r="H274" i="7"/>
  <c r="G274" i="7"/>
  <c r="J273" i="7"/>
  <c r="I273" i="7"/>
  <c r="H273" i="7"/>
  <c r="G273" i="7"/>
  <c r="J272" i="7"/>
  <c r="I272" i="7"/>
  <c r="H272" i="7"/>
  <c r="G272" i="7"/>
  <c r="J271" i="7"/>
  <c r="I271" i="7"/>
  <c r="H271" i="7"/>
  <c r="G271" i="7"/>
  <c r="J270" i="7"/>
  <c r="I270" i="7"/>
  <c r="H270" i="7"/>
  <c r="G270" i="7"/>
  <c r="J269" i="7"/>
  <c r="I269" i="7"/>
  <c r="H269" i="7"/>
  <c r="G269" i="7"/>
  <c r="J268" i="7"/>
  <c r="I268" i="7"/>
  <c r="H268" i="7"/>
  <c r="G268" i="7"/>
  <c r="J267" i="7"/>
  <c r="I267" i="7"/>
  <c r="H267" i="7"/>
  <c r="G267" i="7"/>
  <c r="J266" i="7"/>
  <c r="I266" i="7"/>
  <c r="H266" i="7"/>
  <c r="G266" i="7"/>
  <c r="J265" i="7"/>
  <c r="I265" i="7"/>
  <c r="H265" i="7"/>
  <c r="G265" i="7"/>
  <c r="J264" i="7"/>
  <c r="I264" i="7"/>
  <c r="H264" i="7"/>
  <c r="G264" i="7"/>
  <c r="J263" i="7"/>
  <c r="I263" i="7"/>
  <c r="H263" i="7"/>
  <c r="G263" i="7"/>
  <c r="J262" i="7"/>
  <c r="I262" i="7"/>
  <c r="H262" i="7"/>
  <c r="G262" i="7"/>
  <c r="J261" i="7"/>
  <c r="I261" i="7"/>
  <c r="H261" i="7"/>
  <c r="G261" i="7"/>
  <c r="J260" i="7"/>
  <c r="I260" i="7"/>
  <c r="H260" i="7"/>
  <c r="G260" i="7"/>
  <c r="J259" i="7"/>
  <c r="I259" i="7"/>
  <c r="H259" i="7"/>
  <c r="G259" i="7"/>
  <c r="J258" i="7"/>
  <c r="I258" i="7"/>
  <c r="H258" i="7"/>
  <c r="G258" i="7"/>
  <c r="J257" i="7"/>
  <c r="I257" i="7"/>
  <c r="H257" i="7"/>
  <c r="G257" i="7"/>
  <c r="J256" i="7"/>
  <c r="I256" i="7"/>
  <c r="H256" i="7"/>
  <c r="G256" i="7"/>
  <c r="J255" i="7"/>
  <c r="I255" i="7"/>
  <c r="H255" i="7"/>
  <c r="G255" i="7"/>
  <c r="J254" i="7"/>
  <c r="I254" i="7"/>
  <c r="H254" i="7"/>
  <c r="G254" i="7"/>
  <c r="J253" i="7"/>
  <c r="I253" i="7"/>
  <c r="H253" i="7"/>
  <c r="G253" i="7"/>
  <c r="J252" i="7"/>
  <c r="I252" i="7"/>
  <c r="H252" i="7"/>
  <c r="G252" i="7"/>
  <c r="J251" i="7"/>
  <c r="I251" i="7"/>
  <c r="H251" i="7"/>
  <c r="G251" i="7"/>
  <c r="J250" i="7"/>
  <c r="I250" i="7"/>
  <c r="H250" i="7"/>
  <c r="G250" i="7"/>
  <c r="J249" i="7"/>
  <c r="I249" i="7"/>
  <c r="H249" i="7"/>
  <c r="G249" i="7"/>
  <c r="J248" i="7"/>
  <c r="I248" i="7"/>
  <c r="H248" i="7"/>
  <c r="G248" i="7"/>
  <c r="J247" i="7"/>
  <c r="I247" i="7"/>
  <c r="H247" i="7"/>
  <c r="G247" i="7"/>
  <c r="J246" i="7"/>
  <c r="I246" i="7"/>
  <c r="H246" i="7"/>
  <c r="G246" i="7"/>
  <c r="J245" i="7"/>
  <c r="I245" i="7"/>
  <c r="H245" i="7"/>
  <c r="G245" i="7"/>
  <c r="J244" i="7"/>
  <c r="I244" i="7"/>
  <c r="H244" i="7"/>
  <c r="G244" i="7"/>
  <c r="J243" i="7"/>
  <c r="I243" i="7"/>
  <c r="H243" i="7"/>
  <c r="G243" i="7"/>
  <c r="J242" i="7"/>
  <c r="I242" i="7"/>
  <c r="H242" i="7"/>
  <c r="G242" i="7"/>
  <c r="J241" i="7"/>
  <c r="I241" i="7"/>
  <c r="H241" i="7"/>
  <c r="G241" i="7"/>
  <c r="J240" i="7"/>
  <c r="I240" i="7"/>
  <c r="H240" i="7"/>
  <c r="G240" i="7"/>
  <c r="J239" i="7"/>
  <c r="I239" i="7"/>
  <c r="H239" i="7"/>
  <c r="G239" i="7"/>
  <c r="J238" i="7"/>
  <c r="I238" i="7"/>
  <c r="H238" i="7"/>
  <c r="G238" i="7"/>
  <c r="J237" i="7"/>
  <c r="I237" i="7"/>
  <c r="H237" i="7"/>
  <c r="G237" i="7"/>
  <c r="J236" i="7"/>
  <c r="I236" i="7"/>
  <c r="H236" i="7"/>
  <c r="G236" i="7"/>
  <c r="J235" i="7"/>
  <c r="I235" i="7"/>
  <c r="H235" i="7"/>
  <c r="G235" i="7"/>
  <c r="J234" i="7"/>
  <c r="I234" i="7"/>
  <c r="H234" i="7"/>
  <c r="G234" i="7"/>
  <c r="J233" i="7"/>
  <c r="I233" i="7"/>
  <c r="H233" i="7"/>
  <c r="G233" i="7"/>
  <c r="J232" i="7"/>
  <c r="I232" i="7"/>
  <c r="H232" i="7"/>
  <c r="G232" i="7"/>
  <c r="J231" i="7"/>
  <c r="I231" i="7"/>
  <c r="H231" i="7"/>
  <c r="G231" i="7"/>
  <c r="J230" i="7"/>
  <c r="I230" i="7"/>
  <c r="H230" i="7"/>
  <c r="G230" i="7"/>
  <c r="J229" i="7"/>
  <c r="I229" i="7"/>
  <c r="H229" i="7"/>
  <c r="G229" i="7"/>
  <c r="J228" i="7"/>
  <c r="I228" i="7"/>
  <c r="H228" i="7"/>
  <c r="G228" i="7"/>
  <c r="J227" i="7"/>
  <c r="I227" i="7"/>
  <c r="H227" i="7"/>
  <c r="G227" i="7"/>
  <c r="J226" i="7"/>
  <c r="I226" i="7"/>
  <c r="H226" i="7"/>
  <c r="G226" i="7"/>
  <c r="J225" i="7"/>
  <c r="I225" i="7"/>
  <c r="H225" i="7"/>
  <c r="G225" i="7"/>
  <c r="J224" i="7"/>
  <c r="I224" i="7"/>
  <c r="H224" i="7"/>
  <c r="G224" i="7"/>
  <c r="J223" i="7"/>
  <c r="I223" i="7"/>
  <c r="H223" i="7"/>
  <c r="G223" i="7"/>
  <c r="J222" i="7"/>
  <c r="I222" i="7"/>
  <c r="H222" i="7"/>
  <c r="G222" i="7"/>
  <c r="J221" i="7"/>
  <c r="I221" i="7"/>
  <c r="H221" i="7"/>
  <c r="G221" i="7"/>
  <c r="J220" i="7"/>
  <c r="I220" i="7"/>
  <c r="H220" i="7"/>
  <c r="G220" i="7"/>
  <c r="J219" i="7"/>
  <c r="I219" i="7"/>
  <c r="H219" i="7"/>
  <c r="G219" i="7"/>
  <c r="J218" i="7"/>
  <c r="I218" i="7"/>
  <c r="H218" i="7"/>
  <c r="G218" i="7"/>
  <c r="J217" i="7"/>
  <c r="I217" i="7"/>
  <c r="H217" i="7"/>
  <c r="G217" i="7"/>
  <c r="J216" i="7"/>
  <c r="I216" i="7"/>
  <c r="H216" i="7"/>
  <c r="G216" i="7"/>
  <c r="J215" i="7"/>
  <c r="I215" i="7"/>
  <c r="H215" i="7"/>
  <c r="G215" i="7"/>
  <c r="J214" i="7"/>
  <c r="I214" i="7"/>
  <c r="H214" i="7"/>
  <c r="G214" i="7"/>
  <c r="J213" i="7"/>
  <c r="I213" i="7"/>
  <c r="H213" i="7"/>
  <c r="G213" i="7"/>
  <c r="J212" i="7"/>
  <c r="I212" i="7"/>
  <c r="H212" i="7"/>
  <c r="G212" i="7"/>
  <c r="J211" i="7"/>
  <c r="I211" i="7"/>
  <c r="H211" i="7"/>
  <c r="G211" i="7"/>
  <c r="J210" i="7"/>
  <c r="I210" i="7"/>
  <c r="H210" i="7"/>
  <c r="G210" i="7"/>
  <c r="J209" i="7"/>
  <c r="I209" i="7"/>
  <c r="H209" i="7"/>
  <c r="G209" i="7"/>
  <c r="J208" i="7"/>
  <c r="I208" i="7"/>
  <c r="H208" i="7"/>
  <c r="G208" i="7"/>
  <c r="J207" i="7"/>
  <c r="I207" i="7"/>
  <c r="H207" i="7"/>
  <c r="G207" i="7"/>
  <c r="J206" i="7"/>
  <c r="I206" i="7"/>
  <c r="H206" i="7"/>
  <c r="G206" i="7"/>
  <c r="J205" i="7"/>
  <c r="I205" i="7"/>
  <c r="H205" i="7"/>
  <c r="G205" i="7"/>
  <c r="J204" i="7"/>
  <c r="I204" i="7"/>
  <c r="H204" i="7"/>
  <c r="G204" i="7"/>
  <c r="J203" i="7"/>
  <c r="I203" i="7"/>
  <c r="H203" i="7"/>
  <c r="G203" i="7"/>
  <c r="J202" i="7"/>
  <c r="I202" i="7"/>
  <c r="H202" i="7"/>
  <c r="G202" i="7"/>
  <c r="J201" i="7"/>
  <c r="I201" i="7"/>
  <c r="H201" i="7"/>
  <c r="G201" i="7"/>
  <c r="J200" i="7"/>
  <c r="I200" i="7"/>
  <c r="H200" i="7"/>
  <c r="G200" i="7"/>
  <c r="J199" i="7"/>
  <c r="I199" i="7"/>
  <c r="H199" i="7"/>
  <c r="G199" i="7"/>
  <c r="J198" i="7"/>
  <c r="I198" i="7"/>
  <c r="H198" i="7"/>
  <c r="G198" i="7"/>
  <c r="J197" i="7"/>
  <c r="I197" i="7"/>
  <c r="H197" i="7"/>
  <c r="G197" i="7"/>
  <c r="J196" i="7"/>
  <c r="I196" i="7"/>
  <c r="H196" i="7"/>
  <c r="G196" i="7"/>
  <c r="J195" i="7"/>
  <c r="I195" i="7"/>
  <c r="H195" i="7"/>
  <c r="G195" i="7"/>
  <c r="J194" i="7"/>
  <c r="I194" i="7"/>
  <c r="H194" i="7"/>
  <c r="G194" i="7"/>
  <c r="J193" i="7"/>
  <c r="I193" i="7"/>
  <c r="H193" i="7"/>
  <c r="G193" i="7"/>
  <c r="J192" i="7"/>
  <c r="I192" i="7"/>
  <c r="H192" i="7"/>
  <c r="G192" i="7"/>
  <c r="J191" i="7"/>
  <c r="I191" i="7"/>
  <c r="H191" i="7"/>
  <c r="G191" i="7"/>
  <c r="J190" i="7"/>
  <c r="I190" i="7"/>
  <c r="H190" i="7"/>
  <c r="G190" i="7"/>
  <c r="J189" i="7"/>
  <c r="I189" i="7"/>
  <c r="H189" i="7"/>
  <c r="G189" i="7"/>
  <c r="J188" i="7"/>
  <c r="I188" i="7"/>
  <c r="H188" i="7"/>
  <c r="G188" i="7"/>
  <c r="J187" i="7"/>
  <c r="I187" i="7"/>
  <c r="H187" i="7"/>
  <c r="G187" i="7"/>
  <c r="J186" i="7"/>
  <c r="I186" i="7"/>
  <c r="H186" i="7"/>
  <c r="G186" i="7"/>
  <c r="J185" i="7"/>
  <c r="I185" i="7"/>
  <c r="H185" i="7"/>
  <c r="G185" i="7"/>
  <c r="J184" i="7"/>
  <c r="I184" i="7"/>
  <c r="H184" i="7"/>
  <c r="G184" i="7"/>
  <c r="J183" i="7"/>
  <c r="I183" i="7"/>
  <c r="H183" i="7"/>
  <c r="G183" i="7"/>
  <c r="J182" i="7"/>
  <c r="I182" i="7"/>
  <c r="H182" i="7"/>
  <c r="G182" i="7"/>
  <c r="J181" i="7"/>
  <c r="I181" i="7"/>
  <c r="H181" i="7"/>
  <c r="G181" i="7"/>
  <c r="J180" i="7"/>
  <c r="I180" i="7"/>
  <c r="H180" i="7"/>
  <c r="G180" i="7"/>
  <c r="J179" i="7"/>
  <c r="I179" i="7"/>
  <c r="H179" i="7"/>
  <c r="G179" i="7"/>
  <c r="J178" i="7"/>
  <c r="I178" i="7"/>
  <c r="H178" i="7"/>
  <c r="G178" i="7"/>
  <c r="J177" i="7"/>
  <c r="I177" i="7"/>
  <c r="H177" i="7"/>
  <c r="G177" i="7"/>
  <c r="J176" i="7"/>
  <c r="I176" i="7"/>
  <c r="H176" i="7"/>
  <c r="G176" i="7"/>
  <c r="J175" i="7"/>
  <c r="I175" i="7"/>
  <c r="H175" i="7"/>
  <c r="G175" i="7"/>
  <c r="J174" i="7"/>
  <c r="I174" i="7"/>
  <c r="H174" i="7"/>
  <c r="G174" i="7"/>
  <c r="J173" i="7"/>
  <c r="I173" i="7"/>
  <c r="H173" i="7"/>
  <c r="G173" i="7"/>
  <c r="J172" i="7"/>
  <c r="I172" i="7"/>
  <c r="H172" i="7"/>
  <c r="G172" i="7"/>
  <c r="J171" i="7"/>
  <c r="I171" i="7"/>
  <c r="H171" i="7"/>
  <c r="G171" i="7"/>
  <c r="J170" i="7"/>
  <c r="I170" i="7"/>
  <c r="H170" i="7"/>
  <c r="G170" i="7"/>
  <c r="J169" i="7"/>
  <c r="I169" i="7"/>
  <c r="H169" i="7"/>
  <c r="G169" i="7"/>
  <c r="J168" i="7"/>
  <c r="I168" i="7"/>
  <c r="H168" i="7"/>
  <c r="G168" i="7"/>
  <c r="J167" i="7"/>
  <c r="I167" i="7"/>
  <c r="H167" i="7"/>
  <c r="G167" i="7"/>
  <c r="J166" i="7"/>
  <c r="I166" i="7"/>
  <c r="H166" i="7"/>
  <c r="G166" i="7"/>
  <c r="J165" i="7"/>
  <c r="I165" i="7"/>
  <c r="H165" i="7"/>
  <c r="G165" i="7"/>
  <c r="J164" i="7"/>
  <c r="I164" i="7"/>
  <c r="H164" i="7"/>
  <c r="G164" i="7"/>
  <c r="J163" i="7"/>
  <c r="I163" i="7"/>
  <c r="H163" i="7"/>
  <c r="G163" i="7"/>
  <c r="J162" i="7"/>
  <c r="I162" i="7"/>
  <c r="H162" i="7"/>
  <c r="G162" i="7"/>
  <c r="J161" i="7"/>
  <c r="I161" i="7"/>
  <c r="H161" i="7"/>
  <c r="G161" i="7"/>
  <c r="J160" i="7"/>
  <c r="I160" i="7"/>
  <c r="H160" i="7"/>
  <c r="G160" i="7"/>
  <c r="J159" i="7"/>
  <c r="I159" i="7"/>
  <c r="H159" i="7"/>
  <c r="G159" i="7"/>
  <c r="J158" i="7"/>
  <c r="I158" i="7"/>
  <c r="H158" i="7"/>
  <c r="G158" i="7"/>
  <c r="J157" i="7"/>
  <c r="I157" i="7"/>
  <c r="H157" i="7"/>
  <c r="G157" i="7"/>
  <c r="J156" i="7"/>
  <c r="I156" i="7"/>
  <c r="H156" i="7"/>
  <c r="G156" i="7"/>
  <c r="J155" i="7"/>
  <c r="I155" i="7"/>
  <c r="H155" i="7"/>
  <c r="G155" i="7"/>
  <c r="J154" i="7"/>
  <c r="I154" i="7"/>
  <c r="H154" i="7"/>
  <c r="G154" i="7"/>
  <c r="J153" i="7"/>
  <c r="I153" i="7"/>
  <c r="H153" i="7"/>
  <c r="G153" i="7"/>
  <c r="J152" i="7"/>
  <c r="I152" i="7"/>
  <c r="H152" i="7"/>
  <c r="G152" i="7"/>
  <c r="J151" i="7"/>
  <c r="I151" i="7"/>
  <c r="H151" i="7"/>
  <c r="G151" i="7"/>
  <c r="J150" i="7"/>
  <c r="I150" i="7"/>
  <c r="H150" i="7"/>
  <c r="G150" i="7"/>
  <c r="J149" i="7"/>
  <c r="I149" i="7"/>
  <c r="H149" i="7"/>
  <c r="G149" i="7"/>
  <c r="J148" i="7"/>
  <c r="I148" i="7"/>
  <c r="H148" i="7"/>
  <c r="G148" i="7"/>
  <c r="J147" i="7"/>
  <c r="I147" i="7"/>
  <c r="H147" i="7"/>
  <c r="G147" i="7"/>
  <c r="J146" i="7"/>
  <c r="I146" i="7"/>
  <c r="H146" i="7"/>
  <c r="G146" i="7"/>
  <c r="J145" i="7"/>
  <c r="I145" i="7"/>
  <c r="H145" i="7"/>
  <c r="G145" i="7"/>
  <c r="J144" i="7"/>
  <c r="I144" i="7"/>
  <c r="H144" i="7"/>
  <c r="G144" i="7"/>
  <c r="J143" i="7"/>
  <c r="I143" i="7"/>
  <c r="H143" i="7"/>
  <c r="G143" i="7"/>
  <c r="J142" i="7"/>
  <c r="I142" i="7"/>
  <c r="H142" i="7"/>
  <c r="G142" i="7"/>
  <c r="J141" i="7"/>
  <c r="I141" i="7"/>
  <c r="H141" i="7"/>
  <c r="G141" i="7"/>
  <c r="J140" i="7"/>
  <c r="I140" i="7"/>
  <c r="H140" i="7"/>
  <c r="G140" i="7"/>
  <c r="J139" i="7"/>
  <c r="I139" i="7"/>
  <c r="H139" i="7"/>
  <c r="G139" i="7"/>
  <c r="J138" i="7"/>
  <c r="I138" i="7"/>
  <c r="H138" i="7"/>
  <c r="G138" i="7"/>
  <c r="J137" i="7"/>
  <c r="I137" i="7"/>
  <c r="H137" i="7"/>
  <c r="G137" i="7"/>
  <c r="J136" i="7"/>
  <c r="I136" i="7"/>
  <c r="H136" i="7"/>
  <c r="G136" i="7"/>
  <c r="J135" i="7"/>
  <c r="I135" i="7"/>
  <c r="H135" i="7"/>
  <c r="G135" i="7"/>
  <c r="J134" i="7"/>
  <c r="I134" i="7"/>
  <c r="H134" i="7"/>
  <c r="G134" i="7"/>
  <c r="J133" i="7"/>
  <c r="I133" i="7"/>
  <c r="H133" i="7"/>
  <c r="G133" i="7"/>
  <c r="J132" i="7"/>
  <c r="I132" i="7"/>
  <c r="H132" i="7"/>
  <c r="G132" i="7"/>
  <c r="J131" i="7"/>
  <c r="I131" i="7"/>
  <c r="H131" i="7"/>
  <c r="G131" i="7"/>
  <c r="J130" i="7"/>
  <c r="I130" i="7"/>
  <c r="H130" i="7"/>
  <c r="G130" i="7"/>
  <c r="J129" i="7"/>
  <c r="I129" i="7"/>
  <c r="H129" i="7"/>
  <c r="G129" i="7"/>
  <c r="J128" i="7"/>
  <c r="I128" i="7"/>
  <c r="H128" i="7"/>
  <c r="G128" i="7"/>
  <c r="J127" i="7"/>
  <c r="I127" i="7"/>
  <c r="H127" i="7"/>
  <c r="G127" i="7"/>
  <c r="J126" i="7"/>
  <c r="I126" i="7"/>
  <c r="H126" i="7"/>
  <c r="G126" i="7"/>
  <c r="J125" i="7"/>
  <c r="I125" i="7"/>
  <c r="H125" i="7"/>
  <c r="G125" i="7"/>
  <c r="J124" i="7"/>
  <c r="I124" i="7"/>
  <c r="H124" i="7"/>
  <c r="G124" i="7"/>
  <c r="J123" i="7"/>
  <c r="I123" i="7"/>
  <c r="H123" i="7"/>
  <c r="G123" i="7"/>
  <c r="J122" i="7"/>
  <c r="I122" i="7"/>
  <c r="H122" i="7"/>
  <c r="G122" i="7"/>
  <c r="J121" i="7"/>
  <c r="I121" i="7"/>
  <c r="H121" i="7"/>
  <c r="G121" i="7"/>
  <c r="J120" i="7"/>
  <c r="I120" i="7"/>
  <c r="H120" i="7"/>
  <c r="G120" i="7"/>
  <c r="J119" i="7"/>
  <c r="I119" i="7"/>
  <c r="H119" i="7"/>
  <c r="G119" i="7"/>
  <c r="J118" i="7"/>
  <c r="I118" i="7"/>
  <c r="H118" i="7"/>
  <c r="G118" i="7"/>
  <c r="J117" i="7"/>
  <c r="I117" i="7"/>
  <c r="H117" i="7"/>
  <c r="G117" i="7"/>
  <c r="J116" i="7"/>
  <c r="I116" i="7"/>
  <c r="H116" i="7"/>
  <c r="G116" i="7"/>
  <c r="J115" i="7"/>
  <c r="I115" i="7"/>
  <c r="H115" i="7"/>
  <c r="G115" i="7"/>
  <c r="J114" i="7"/>
  <c r="I114" i="7"/>
  <c r="H114" i="7"/>
  <c r="G114" i="7"/>
  <c r="J113" i="7"/>
  <c r="I113" i="7"/>
  <c r="H113" i="7"/>
  <c r="G113" i="7"/>
  <c r="J112" i="7"/>
  <c r="I112" i="7"/>
  <c r="H112" i="7"/>
  <c r="G112" i="7"/>
  <c r="J111" i="7"/>
  <c r="I111" i="7"/>
  <c r="H111" i="7"/>
  <c r="G111" i="7"/>
  <c r="J110" i="7"/>
  <c r="I110" i="7"/>
  <c r="H110" i="7"/>
  <c r="G110" i="7"/>
  <c r="J109" i="7"/>
  <c r="I109" i="7"/>
  <c r="H109" i="7"/>
  <c r="G109" i="7"/>
  <c r="J108" i="7"/>
  <c r="I108" i="7"/>
  <c r="H108" i="7"/>
  <c r="G108" i="7"/>
  <c r="J107" i="7"/>
  <c r="I107" i="7"/>
  <c r="H107" i="7"/>
  <c r="G107" i="7"/>
  <c r="J106" i="7"/>
  <c r="I106" i="7"/>
  <c r="H106" i="7"/>
  <c r="G106" i="7"/>
  <c r="J105" i="7"/>
  <c r="I105" i="7"/>
  <c r="H105" i="7"/>
  <c r="G105" i="7"/>
  <c r="J104" i="7"/>
  <c r="I104" i="7"/>
  <c r="H104" i="7"/>
  <c r="G104" i="7"/>
  <c r="J103" i="7"/>
  <c r="I103" i="7"/>
  <c r="H103" i="7"/>
  <c r="G103" i="7"/>
  <c r="J102" i="7"/>
  <c r="I102" i="7"/>
  <c r="H102" i="7"/>
  <c r="G102" i="7"/>
  <c r="J101" i="7"/>
  <c r="I101" i="7"/>
  <c r="H101" i="7"/>
  <c r="G101" i="7"/>
  <c r="J100" i="7"/>
  <c r="I100" i="7"/>
  <c r="H100" i="7"/>
  <c r="G100" i="7"/>
  <c r="J99" i="7"/>
  <c r="I99" i="7"/>
  <c r="H99" i="7"/>
  <c r="G99" i="7"/>
  <c r="J98" i="7"/>
  <c r="I98" i="7"/>
  <c r="H98" i="7"/>
  <c r="G98" i="7"/>
  <c r="J97" i="7"/>
  <c r="I97" i="7"/>
  <c r="H97" i="7"/>
  <c r="G97" i="7"/>
  <c r="J96" i="7"/>
  <c r="I96" i="7"/>
  <c r="H96" i="7"/>
  <c r="G96" i="7"/>
  <c r="J95" i="7"/>
  <c r="I95" i="7"/>
  <c r="H95" i="7"/>
  <c r="G95" i="7"/>
  <c r="J94" i="7"/>
  <c r="I94" i="7"/>
  <c r="H94" i="7"/>
  <c r="G94" i="7"/>
  <c r="J93" i="7"/>
  <c r="I93" i="7"/>
  <c r="H93" i="7"/>
  <c r="G93" i="7"/>
  <c r="J92" i="7"/>
  <c r="I92" i="7"/>
  <c r="H92" i="7"/>
  <c r="G92" i="7"/>
  <c r="J91" i="7"/>
  <c r="I91" i="7"/>
  <c r="H91" i="7"/>
  <c r="G91" i="7"/>
  <c r="J90" i="7"/>
  <c r="I90" i="7"/>
  <c r="H90" i="7"/>
  <c r="G90" i="7"/>
  <c r="J89" i="7"/>
  <c r="I89" i="7"/>
  <c r="H89" i="7"/>
  <c r="G89" i="7"/>
  <c r="J88" i="7"/>
  <c r="I88" i="7"/>
  <c r="H88" i="7"/>
  <c r="G88" i="7"/>
  <c r="J87" i="7"/>
  <c r="I87" i="7"/>
  <c r="H87" i="7"/>
  <c r="G87" i="7"/>
  <c r="J86" i="7"/>
  <c r="I86" i="7"/>
  <c r="H86" i="7"/>
  <c r="G86" i="7"/>
  <c r="J85" i="7"/>
  <c r="I85" i="7"/>
  <c r="H85" i="7"/>
  <c r="G85" i="7"/>
  <c r="J84" i="7"/>
  <c r="I84" i="7"/>
  <c r="H84" i="7"/>
  <c r="G84" i="7"/>
  <c r="J83" i="7"/>
  <c r="I83" i="7"/>
  <c r="H83" i="7"/>
  <c r="G83" i="7"/>
  <c r="J82" i="7"/>
  <c r="I82" i="7"/>
  <c r="H82" i="7"/>
  <c r="G82" i="7"/>
  <c r="J81" i="7"/>
  <c r="I81" i="7"/>
  <c r="H81" i="7"/>
  <c r="G81" i="7"/>
  <c r="J80" i="7"/>
  <c r="I80" i="7"/>
  <c r="H80" i="7"/>
  <c r="G80" i="7"/>
  <c r="J79" i="7"/>
  <c r="I79" i="7"/>
  <c r="H79" i="7"/>
  <c r="G79" i="7"/>
  <c r="J78" i="7"/>
  <c r="I78" i="7"/>
  <c r="H78" i="7"/>
  <c r="G78" i="7"/>
  <c r="J77" i="7"/>
  <c r="I77" i="7"/>
  <c r="H77" i="7"/>
  <c r="G77" i="7"/>
  <c r="J76" i="7"/>
  <c r="I76" i="7"/>
  <c r="H76" i="7"/>
  <c r="G76" i="7"/>
  <c r="J75" i="7"/>
  <c r="I75" i="7"/>
  <c r="H75" i="7"/>
  <c r="G75" i="7"/>
  <c r="J74" i="7"/>
  <c r="I74" i="7"/>
  <c r="H74" i="7"/>
  <c r="G74" i="7"/>
  <c r="J73" i="7"/>
  <c r="I73" i="7"/>
  <c r="H73" i="7"/>
  <c r="G73" i="7"/>
  <c r="J72" i="7"/>
  <c r="I72" i="7"/>
  <c r="H72" i="7"/>
  <c r="G72" i="7"/>
  <c r="J71" i="7"/>
  <c r="I71" i="7"/>
  <c r="H71" i="7"/>
  <c r="G71" i="7"/>
  <c r="J70" i="7"/>
  <c r="I70" i="7"/>
  <c r="H70" i="7"/>
  <c r="G70" i="7"/>
  <c r="J69" i="7"/>
  <c r="I69" i="7"/>
  <c r="H69" i="7"/>
  <c r="G69" i="7"/>
  <c r="J68" i="7"/>
  <c r="I68" i="7"/>
  <c r="H68" i="7"/>
  <c r="G68" i="7"/>
  <c r="J67" i="7"/>
  <c r="I67" i="7"/>
  <c r="H67" i="7"/>
  <c r="G67" i="7"/>
  <c r="J66" i="7"/>
  <c r="I66" i="7"/>
  <c r="H66" i="7"/>
  <c r="G66" i="7"/>
  <c r="J65" i="7"/>
  <c r="I65" i="7"/>
  <c r="H65" i="7"/>
  <c r="G65" i="7"/>
  <c r="J64" i="7"/>
  <c r="I64" i="7"/>
  <c r="H64" i="7"/>
  <c r="G64" i="7"/>
  <c r="J63" i="7"/>
  <c r="I63" i="7"/>
  <c r="H63" i="7"/>
  <c r="G63" i="7"/>
  <c r="J62" i="7"/>
  <c r="I62" i="7"/>
  <c r="H62" i="7"/>
  <c r="G62" i="7"/>
  <c r="J61" i="7"/>
  <c r="I61" i="7"/>
  <c r="H61" i="7"/>
  <c r="G61" i="7"/>
  <c r="J60" i="7"/>
  <c r="I60" i="7"/>
  <c r="H60" i="7"/>
  <c r="G60" i="7"/>
  <c r="J59" i="7"/>
  <c r="I59" i="7"/>
  <c r="H59" i="7"/>
  <c r="G59" i="7"/>
  <c r="J58" i="7"/>
  <c r="I58" i="7"/>
  <c r="H58" i="7"/>
  <c r="G58" i="7"/>
  <c r="J57" i="7"/>
  <c r="I57" i="7"/>
  <c r="H57" i="7"/>
  <c r="G57" i="7"/>
  <c r="J56" i="7"/>
  <c r="I56" i="7"/>
  <c r="H56" i="7"/>
  <c r="G56" i="7"/>
  <c r="J55" i="7"/>
  <c r="I55" i="7"/>
  <c r="H55" i="7"/>
  <c r="G55" i="7"/>
  <c r="J54" i="7"/>
  <c r="I54" i="7"/>
  <c r="H54" i="7"/>
  <c r="G54" i="7"/>
  <c r="J53" i="7"/>
  <c r="I53" i="7"/>
  <c r="H53" i="7"/>
  <c r="G53" i="7"/>
  <c r="J52" i="7"/>
  <c r="I52" i="7"/>
  <c r="H52" i="7"/>
  <c r="G52" i="7"/>
  <c r="J51" i="7"/>
  <c r="I51" i="7"/>
  <c r="H51" i="7"/>
  <c r="G51" i="7"/>
  <c r="J50" i="7"/>
  <c r="I50" i="7"/>
  <c r="H50" i="7"/>
  <c r="G50" i="7"/>
  <c r="J49" i="7"/>
  <c r="I49" i="7"/>
  <c r="H49" i="7"/>
  <c r="G49" i="7"/>
  <c r="J48" i="7"/>
  <c r="I48" i="7"/>
  <c r="H48" i="7"/>
  <c r="G48" i="7"/>
  <c r="J47" i="7"/>
  <c r="I47" i="7"/>
  <c r="H47" i="7"/>
  <c r="G47" i="7"/>
  <c r="J46" i="7"/>
  <c r="I46" i="7"/>
  <c r="H46" i="7"/>
  <c r="G46" i="7"/>
  <c r="J45" i="7"/>
  <c r="I45" i="7"/>
  <c r="H45" i="7"/>
  <c r="G45" i="7"/>
  <c r="J44" i="7"/>
  <c r="I44" i="7"/>
  <c r="H44" i="7"/>
  <c r="G44" i="7"/>
  <c r="J43" i="7"/>
  <c r="I43" i="7"/>
  <c r="H43" i="7"/>
  <c r="G43" i="7"/>
  <c r="J42" i="7"/>
  <c r="I42" i="7"/>
  <c r="H42" i="7"/>
  <c r="G42" i="7"/>
  <c r="J41" i="7"/>
  <c r="I41" i="7"/>
  <c r="H41" i="7"/>
  <c r="G41" i="7"/>
  <c r="J40" i="7"/>
  <c r="I40" i="7"/>
  <c r="H40" i="7"/>
  <c r="G40" i="7"/>
  <c r="J39" i="7"/>
  <c r="I39" i="7"/>
  <c r="H39" i="7"/>
  <c r="G39" i="7"/>
  <c r="J38" i="7"/>
  <c r="I38" i="7"/>
  <c r="H38" i="7"/>
  <c r="G38" i="7"/>
  <c r="J37" i="7"/>
  <c r="I37" i="7"/>
  <c r="H37" i="7"/>
  <c r="G37" i="7"/>
  <c r="J36" i="7"/>
  <c r="I36" i="7"/>
  <c r="H36" i="7"/>
  <c r="G36" i="7"/>
  <c r="J35" i="7"/>
  <c r="I35" i="7"/>
  <c r="H35" i="7"/>
  <c r="G35" i="7"/>
  <c r="J34" i="7"/>
  <c r="I34" i="7"/>
  <c r="H34" i="7"/>
  <c r="G34" i="7"/>
  <c r="J33" i="7"/>
  <c r="I33" i="7"/>
  <c r="H33" i="7"/>
  <c r="G33" i="7"/>
  <c r="J32" i="7"/>
  <c r="I32" i="7"/>
  <c r="H32" i="7"/>
  <c r="G32" i="7"/>
  <c r="J31" i="7"/>
  <c r="I31" i="7"/>
  <c r="H31" i="7"/>
  <c r="G31" i="7"/>
  <c r="J30" i="7"/>
  <c r="I30" i="7"/>
  <c r="H30" i="7"/>
  <c r="G30" i="7"/>
  <c r="J29" i="7"/>
  <c r="I29" i="7"/>
  <c r="H29" i="7"/>
  <c r="G29" i="7"/>
  <c r="J28" i="7"/>
  <c r="I28" i="7"/>
  <c r="H28" i="7"/>
  <c r="G28" i="7"/>
  <c r="J27" i="7"/>
  <c r="I27" i="7"/>
  <c r="H27" i="7"/>
  <c r="G27" i="7"/>
  <c r="J26" i="7"/>
  <c r="I26" i="7"/>
  <c r="H26" i="7"/>
  <c r="G26" i="7"/>
  <c r="J25" i="7"/>
  <c r="I25" i="7"/>
  <c r="H25" i="7"/>
  <c r="G25" i="7"/>
  <c r="J24" i="7"/>
  <c r="I24" i="7"/>
  <c r="H24" i="7"/>
  <c r="G24" i="7"/>
  <c r="J23" i="7"/>
  <c r="I23" i="7"/>
  <c r="H23" i="7"/>
  <c r="G23" i="7"/>
  <c r="J22" i="7"/>
  <c r="I22" i="7"/>
  <c r="H22" i="7"/>
  <c r="G22" i="7"/>
  <c r="J21" i="7"/>
  <c r="I21" i="7"/>
  <c r="H21" i="7"/>
  <c r="G21" i="7"/>
  <c r="J20" i="7"/>
  <c r="I20" i="7"/>
  <c r="H20" i="7"/>
  <c r="G20" i="7"/>
  <c r="J19" i="7"/>
  <c r="I19" i="7"/>
  <c r="H19" i="7"/>
  <c r="G19" i="7"/>
  <c r="J18" i="7"/>
  <c r="I18" i="7"/>
  <c r="H18" i="7"/>
  <c r="G18" i="7"/>
  <c r="J17" i="7"/>
  <c r="I17" i="7"/>
  <c r="H17" i="7"/>
  <c r="G17" i="7"/>
  <c r="J16" i="7"/>
  <c r="I16" i="7"/>
  <c r="H16" i="7"/>
  <c r="G16" i="7"/>
  <c r="J15" i="7"/>
  <c r="I15" i="7"/>
  <c r="H15" i="7"/>
  <c r="G15" i="7"/>
  <c r="J14" i="7"/>
  <c r="I14" i="7"/>
  <c r="H14" i="7"/>
  <c r="G14" i="7"/>
  <c r="J13" i="7"/>
  <c r="I13" i="7"/>
  <c r="H13" i="7"/>
  <c r="G13" i="7"/>
  <c r="J12" i="7"/>
  <c r="I12" i="7"/>
  <c r="H12" i="7"/>
  <c r="G12" i="7"/>
  <c r="J11" i="7"/>
  <c r="I11" i="7"/>
  <c r="H11" i="7"/>
  <c r="G11" i="7"/>
  <c r="J10" i="7"/>
  <c r="I10" i="7"/>
  <c r="H10" i="7"/>
  <c r="G10" i="7"/>
  <c r="J9" i="7"/>
  <c r="I9" i="7"/>
  <c r="H9" i="7"/>
  <c r="G9" i="7"/>
  <c r="J8" i="7"/>
  <c r="I8" i="7"/>
  <c r="H8" i="7"/>
  <c r="G8" i="7"/>
  <c r="J7" i="7"/>
  <c r="I7" i="7"/>
  <c r="H7" i="7"/>
  <c r="G7" i="7"/>
  <c r="J6" i="7"/>
  <c r="I6" i="7"/>
  <c r="H6" i="7"/>
  <c r="G6" i="7"/>
  <c r="J5" i="7"/>
  <c r="I5" i="7"/>
  <c r="H5" i="7"/>
  <c r="G5" i="7"/>
  <c r="J4" i="7"/>
  <c r="I4" i="7"/>
  <c r="H4" i="7"/>
  <c r="G4" i="7"/>
  <c r="J3" i="7"/>
  <c r="I3" i="7"/>
  <c r="H3" i="7"/>
  <c r="G3" i="7"/>
  <c r="C126" i="8" l="1"/>
  <c r="E525" i="3" l="1"/>
  <c r="E457" i="2"/>
  <c r="M228" i="1" l="1"/>
  <c r="M229" i="1" l="1"/>
  <c r="F227" i="1" l="1"/>
</calcChain>
</file>

<file path=xl/sharedStrings.xml><?xml version="1.0" encoding="utf-8"?>
<sst xmlns="http://schemas.openxmlformats.org/spreadsheetml/2006/main" count="8892" uniqueCount="1351">
  <si>
    <t>KATEGORI</t>
  </si>
  <si>
    <t>TYPE</t>
  </si>
  <si>
    <t>ITEM CODE</t>
  </si>
  <si>
    <t>ITEM NAME</t>
  </si>
  <si>
    <t>BARCODE</t>
  </si>
  <si>
    <t>STOK AKHIR</t>
  </si>
  <si>
    <t>MINUMAN</t>
  </si>
  <si>
    <t>RETAIL</t>
  </si>
  <si>
    <t>PRIMA 600ML</t>
  </si>
  <si>
    <t>NU GREENTEA MADU 500ML</t>
  </si>
  <si>
    <t>NU GREENTEA ORIGIN 500ML</t>
  </si>
  <si>
    <t>NU GREEN TEA LESS SUGAR 450ML</t>
  </si>
  <si>
    <t>NU MILK TEA 330ML</t>
  </si>
  <si>
    <t>NU TEH TARIK 330ML</t>
  </si>
  <si>
    <t>NU GREENTEA YOGURT TEA 450ML</t>
  </si>
  <si>
    <t>FT APPLE 500ML</t>
  </si>
  <si>
    <t>FT STRAWBERRY 500ML</t>
  </si>
  <si>
    <t>HYDRO COCO 250ML</t>
  </si>
  <si>
    <t>TEH BOTOL SOSRO PET 450ML</t>
  </si>
  <si>
    <t>FT BLACK CURRANT 500ML</t>
  </si>
  <si>
    <t>NU  MILK CHOCOLATE TEA 330ML</t>
  </si>
  <si>
    <t>ADEM SARI CHINGKU 320ML</t>
  </si>
  <si>
    <t>PK JASMINE GREEN TEA PET 450ML</t>
  </si>
  <si>
    <t>PK LYCHEE TEA 450ML</t>
  </si>
  <si>
    <t>PK HONEY LEMON BTL 450ML</t>
  </si>
  <si>
    <t>SNACK</t>
  </si>
  <si>
    <t xml:space="preserve">CHITATO LITE SEAWED 35GR </t>
  </si>
  <si>
    <t>CHITATO RASA SAPI PAGAGANG BBQ 35GR</t>
  </si>
  <si>
    <t>JETZ CHOCO FIESTA 12GR</t>
  </si>
  <si>
    <t>CHIKI BALL KEJU 16gr</t>
  </si>
  <si>
    <t>CHIKI BALL COKLAT 16gr</t>
  </si>
  <si>
    <t>CHIKI BALL AYAM 16gr</t>
  </si>
  <si>
    <t>CHIKI TWIST JAGUNG BAKAR 23GR</t>
  </si>
  <si>
    <t>CHIKI TWIST FLAMING HOT 23 GR</t>
  </si>
  <si>
    <t>DF CHA-CHA CHOC 60GR</t>
  </si>
  <si>
    <t>DF CHA-CHA PEANUT 50GR</t>
  </si>
  <si>
    <t>CHOCOMANIA COOKIES 69gr</t>
  </si>
  <si>
    <t>FROZZ CHERYMINT 15GR</t>
  </si>
  <si>
    <t>FROZZ ORANGE MINT 15GR</t>
  </si>
  <si>
    <t>TINI WINNIE BITTIE MANIS 20gr</t>
  </si>
  <si>
    <t>ACCS MOBIL</t>
  </si>
  <si>
    <t>CONSIGNMENT</t>
  </si>
  <si>
    <t>HANGING SAMURAI</t>
  </si>
  <si>
    <t>HANGING GOLDEN 8ML</t>
  </si>
  <si>
    <t>HANGING MOON SPARKLE 8ML</t>
  </si>
  <si>
    <t>HOKAIDO ALL SIZE</t>
  </si>
  <si>
    <t>YC000006</t>
  </si>
  <si>
    <t>CUBE CR COFFEE</t>
  </si>
  <si>
    <t>YC000060</t>
  </si>
  <si>
    <t>CUBE CR TROPICAN</t>
  </si>
  <si>
    <t>YC000061</t>
  </si>
  <si>
    <t>CUBE CR VANILLA</t>
  </si>
  <si>
    <t>YC000059</t>
  </si>
  <si>
    <t>CUBE CR BUBBLE GUM</t>
  </si>
  <si>
    <t>YC00083</t>
  </si>
  <si>
    <t>CUBE CR NEW CAR</t>
  </si>
  <si>
    <t>YC00082</t>
  </si>
  <si>
    <t>CUBE CR WHITE TEA</t>
  </si>
  <si>
    <t>YC00090</t>
  </si>
  <si>
    <t>CUBE CR LEMON GRASS</t>
  </si>
  <si>
    <t>YC00091</t>
  </si>
  <si>
    <t>CUBE HP COFFFEE</t>
  </si>
  <si>
    <t>YC000057</t>
  </si>
  <si>
    <t>CUBE HP PERCY</t>
  </si>
  <si>
    <t>YC000068</t>
  </si>
  <si>
    <t>Cube HP EXPOSE</t>
  </si>
  <si>
    <t>YC000070</t>
  </si>
  <si>
    <t>Cube hp Tropican</t>
  </si>
  <si>
    <t>YC000072</t>
  </si>
  <si>
    <t>CUBE HP SUGARY</t>
  </si>
  <si>
    <t>YC00071</t>
  </si>
  <si>
    <t>MEDE GARLIC SACHET</t>
  </si>
  <si>
    <t>YC00084</t>
  </si>
  <si>
    <t>MEDE GARLIC TOPLES</t>
  </si>
  <si>
    <t>YC00085</t>
  </si>
  <si>
    <t>MEDE GARLIC SM(SUPER MINI)</t>
  </si>
  <si>
    <t>YC00086</t>
  </si>
  <si>
    <t>MEDE GARLIC EX(EXTRA SMALL)</t>
  </si>
  <si>
    <t>YC00087</t>
  </si>
  <si>
    <t>MORE RICH RAMBAK SIRLUIN 50GR</t>
  </si>
  <si>
    <t>MORE RICH EMPING CARAMEL 150GR</t>
  </si>
  <si>
    <t>MORE RICH SINGKONG BALADO 150GR</t>
  </si>
  <si>
    <t>MORE RICH MELINJO ARUM MANIS 100GR</t>
  </si>
  <si>
    <t>MORE RICH TALAS BALADO 140GR</t>
  </si>
  <si>
    <t>MORE RICH EMPING BALADO 100GR</t>
  </si>
  <si>
    <t>MORE RICH COOKIES GULALI</t>
  </si>
  <si>
    <t>MORE RICH BANANA CARAMEL 160GR</t>
  </si>
  <si>
    <t>MORE RICH SPRING ROLLS 175GR</t>
  </si>
  <si>
    <t>MORE RICH RAMBAK BALADO 50GR</t>
  </si>
  <si>
    <t>ES KRIM</t>
  </si>
  <si>
    <t xml:space="preserve">GLC FROSTBITE PARI-PARI CHOCOLATE 90ML  </t>
  </si>
  <si>
    <t>GLC FROSTBITE CUP PARI-PARI VAN 90 ML</t>
  </si>
  <si>
    <t>GLC FROSBITE CUP STRAW SAUCE 90ML</t>
  </si>
  <si>
    <t>FROSBITE MOCHI COOKIES &amp; CREAM 46ML</t>
  </si>
  <si>
    <t>FROSBITE BOBA MILK TEA 60ML</t>
  </si>
  <si>
    <t>GLC FROSTBITE CHOCONUT  AND CASHEW 65ML</t>
  </si>
  <si>
    <t>GLC FROSTBITE COOKIE N CREAM 65ML</t>
  </si>
  <si>
    <t>GLC HAKU MONAKA VANILA CRISPY 100ML</t>
  </si>
  <si>
    <t>GLC MONAKA starwberry Crispy 100ml</t>
  </si>
  <si>
    <t>HAKU J-CONE BLACK AND PINK 90ML</t>
  </si>
  <si>
    <t>GLC WAKU WAKU COCOLOOP 50ML</t>
  </si>
  <si>
    <t>GLC HAKU MONAKA DOUBLE CHOCO 100ML</t>
  </si>
  <si>
    <t>GLC FROSBITE CUP TUTI FRUITY 90ML</t>
  </si>
  <si>
    <t>GLC FROSBITE CHOCOLAVA MOCHI</t>
  </si>
  <si>
    <t>GLC FROSBITE STRAWBERRY SAKURA MOCHI</t>
  </si>
  <si>
    <t>GLC FROSBITE TUTI FRUITY 70ML</t>
  </si>
  <si>
    <t>GLC J-CONE VANILA RAINBOW 40GR</t>
  </si>
  <si>
    <t xml:space="preserve">WAKU-WAKU CHOCOBERRY LOOP </t>
  </si>
  <si>
    <t>GLC WAKU WAKU MANGOO LOOP60ML</t>
  </si>
  <si>
    <t>HAKU J-CONE COOKIES N CREAM 90ML</t>
  </si>
  <si>
    <t>WAKU-WAKU COTTON CANDY  60ML</t>
  </si>
  <si>
    <t>FROSBITE VITA FRUIT ORANGE CHOCO 60ML</t>
  </si>
  <si>
    <t>WAKU-WAKU CHOCO DINOSAUR 50ML</t>
  </si>
  <si>
    <t xml:space="preserve">FROSBITE CHOCONUT SHAKE LYCHEE 60ML </t>
  </si>
  <si>
    <t>WAKU-WAKU DRACOLA 60ML</t>
  </si>
  <si>
    <t>GLC FROSTBITE VANILLA CHOCONUT 65ML</t>
  </si>
  <si>
    <t>GLC HAKU MONAKA VANILLA 180ML</t>
  </si>
  <si>
    <t>GLC HAKU MONAKA MATCHA</t>
  </si>
  <si>
    <t>PRINGLES SOUS CREAM AND ONION 47GR</t>
  </si>
  <si>
    <t>PRINGLES ORIGINAL 47G</t>
  </si>
  <si>
    <t>FROSBITE CUP COOKIES N CREAM 60ML</t>
  </si>
  <si>
    <t>QTELA SINGKONG BBQ 30GR</t>
  </si>
  <si>
    <t>089686611601</t>
  </si>
  <si>
    <t>MAXICORN JAGUNG BAKAR 25GR</t>
  </si>
  <si>
    <t>PERSONAL CARE</t>
  </si>
  <si>
    <t>YUNIKON ANTIBACTERAL BABY WIPES '50S</t>
  </si>
  <si>
    <t>8997233270435/473</t>
  </si>
  <si>
    <t>YUNIKON DIAPER CHANGE BABY WIPES '50S</t>
  </si>
  <si>
    <t>8997233270442/480</t>
  </si>
  <si>
    <t>YUNIKON HAND and MOUTH BABY WIPES '50S</t>
  </si>
  <si>
    <t>8997233270459/497</t>
  </si>
  <si>
    <t>YUNIKON UNCENTED BABY WIPES '50S</t>
  </si>
  <si>
    <t>8997233270466/503</t>
  </si>
  <si>
    <t>YUNIKON ANTIBACTERAL BABY WIPES '20S</t>
  </si>
  <si>
    <t>YUNIKON DIAPER CHANGE BABY WIPES '20S</t>
  </si>
  <si>
    <t>YUNIKON HAND and MOUTH BABY WIPES '20S</t>
  </si>
  <si>
    <t>YUNIKON UNCENTED BABY WIPES '20S</t>
  </si>
  <si>
    <t xml:space="preserve">YUNIKON HAND WASH BLUE 500ML </t>
  </si>
  <si>
    <t xml:space="preserve">YUNIKON HAND WASH GREEN 500ML </t>
  </si>
  <si>
    <t xml:space="preserve">YUNIKON HAND WASH PINK 500ML </t>
  </si>
  <si>
    <t xml:space="preserve">YUNIKON HAND WASH PURPLE 500ML </t>
  </si>
  <si>
    <t>YUNIKON BABY COLOGNE BLUE '60ML</t>
  </si>
  <si>
    <t>YUNIKON BABY COLOGNE GREEN '60ML</t>
  </si>
  <si>
    <t>YUNIKON BABY COLOGNE PEACH '60ML</t>
  </si>
  <si>
    <t>YUNIKON HAND SANITIZER GREEN '30ML</t>
  </si>
  <si>
    <t>YUNIKON HAND SANITIZER PINK '30ML</t>
  </si>
  <si>
    <t>YUNIKON HAND SANITIZER PURPLE '30ML</t>
  </si>
  <si>
    <t>YUNIKON KIDS BODY MIST GREEN 100ml</t>
  </si>
  <si>
    <t>YUNIKON KIDS BODY MIST PINK 100ml</t>
  </si>
  <si>
    <t>YUNIKON KIDS BODY MIST PURPLE 100ml</t>
  </si>
  <si>
    <t>YUNIKON 2IN1 HAIR AND BODY WASH GREEN 100ML</t>
  </si>
  <si>
    <t>YUNIKON 2IN1 HAIR AND BODY WASH BLUE 100ML</t>
  </si>
  <si>
    <t>YUNIKON 2IN1 HAIR AND BODY WASH PEACH 100ML</t>
  </si>
  <si>
    <t xml:space="preserve">PEYEK KACANG </t>
  </si>
  <si>
    <t>YC00081</t>
  </si>
  <si>
    <t>CUBE CR LAVENDER</t>
  </si>
  <si>
    <t>YC00092</t>
  </si>
  <si>
    <t>NANO NANO ORANGE FLAVOUR2,5GR</t>
  </si>
  <si>
    <t>FROZZ MINT 15GR</t>
  </si>
  <si>
    <t>HEXOS MINT 12.5GR</t>
  </si>
  <si>
    <t>WAKU-WAKU LOLLY GUAVA STRAWBERRY 60ml</t>
  </si>
  <si>
    <t>WAKU-WAKU LOLLY LYCHEE  MELON 60ml</t>
  </si>
  <si>
    <t>KOPIKO 78C 250ML</t>
  </si>
  <si>
    <t>TEH PUCUK HARUM 350ML</t>
  </si>
  <si>
    <t>BLUEBELL CHOCOLATE 200ml</t>
  </si>
  <si>
    <t>YOU C 1000 ORANGE140ML</t>
  </si>
  <si>
    <t>YOU C 1000 LEMON 140ML</t>
  </si>
  <si>
    <t>YOU C 1000 LEMON WATER 500ML</t>
  </si>
  <si>
    <t>YOU C 1000 ORANGE WATER 500ML</t>
  </si>
  <si>
    <t>MORE RICH SINGKONG MENTEGA</t>
  </si>
  <si>
    <t>MORE RICH SINGKONG BBQ</t>
  </si>
  <si>
    <t>KOPIKO LUCKY DAY 180ML</t>
  </si>
  <si>
    <t>ALKAKUA WATER 280ML</t>
  </si>
  <si>
    <t>ALKAKUA WATER 500ml</t>
  </si>
  <si>
    <t>8997231600081</t>
  </si>
  <si>
    <t>SAGON</t>
  </si>
  <si>
    <t>YC00089</t>
  </si>
  <si>
    <t>MOMOGI JAGUNG BAKAR MANIS 12GR</t>
  </si>
  <si>
    <t>MOMOGI RUMPUT LAUT 12GR</t>
  </si>
  <si>
    <t>MOMOGI KEJU 12GR</t>
  </si>
  <si>
    <t>MOMOGI COKLAT 12GR</t>
  </si>
  <si>
    <t>GLICO POCKY STRAWBERRY 47GR</t>
  </si>
  <si>
    <t>GLICO POCKY CHOCOLATE 47GR</t>
  </si>
  <si>
    <t>GLICO POCKY GREEN TEA STICK 33GR</t>
  </si>
  <si>
    <t>GLICO POCKY COOKIES &amp; CREAM 47GR</t>
  </si>
  <si>
    <t>POCKY ALMOND CHOCO DARK 25GR</t>
  </si>
  <si>
    <t>POCKY ALMOND CHOCO MILK 25GR</t>
  </si>
  <si>
    <t>BENG BENG MAXX 32GR</t>
  </si>
  <si>
    <t>SUPERSTAR WAFER CHOCOLATE 16GR</t>
  </si>
  <si>
    <t xml:space="preserve">ASTOR CHOCOLATE STICK ROLL 40GR </t>
  </si>
  <si>
    <t>FRUTA GUMMY CANDY 25GR</t>
  </si>
  <si>
    <t>CHOKI CASHEW BOX 11GR</t>
  </si>
  <si>
    <t>BOTTLE LAVENDER 80GR</t>
  </si>
  <si>
    <t>BOTTLE WITHMUSK 80GR</t>
  </si>
  <si>
    <t>TESSA TRAVEL LNEY TONS 50SX3P</t>
  </si>
  <si>
    <t>FRIENZY SNACK BISKUIT GEM ROSE 175GR</t>
  </si>
  <si>
    <t>PRD01ROSEGUM</t>
  </si>
  <si>
    <t>FRIENZY POP CORN SWEET CHEESE 50G</t>
  </si>
  <si>
    <t>PRD07PCRNCH</t>
  </si>
  <si>
    <t>FRIENZY SINGKONG MENTEGA 180GR</t>
  </si>
  <si>
    <t>PRD05SNGK</t>
  </si>
  <si>
    <t>FRIENZY RAMBAK SIRLOIN 50GR</t>
  </si>
  <si>
    <t>PRD06RMBK</t>
  </si>
  <si>
    <t>FRIENZY BANANA CARAMEL 150GR</t>
  </si>
  <si>
    <t>PRD04PSGCMRL</t>
  </si>
  <si>
    <t>FRIENZY SPRING ROLLS 175GR</t>
  </si>
  <si>
    <t>PRD03SPRGRL</t>
  </si>
  <si>
    <t>FRIENZY EMPING CARAMEL 150GR</t>
  </si>
  <si>
    <t>PRD02EMPCRML</t>
  </si>
  <si>
    <t>FRIENZY POP CORN CARAMEL 50G</t>
  </si>
  <si>
    <t>PRD08PCRNCML</t>
  </si>
  <si>
    <t>NIPIS MADU 330ML</t>
  </si>
  <si>
    <t xml:space="preserve">COOL TIME COCONUT WATER 350ML </t>
  </si>
  <si>
    <t>KOPI KENANGAN INDONESIANO</t>
  </si>
  <si>
    <t>KOPI KENANGAN CAFFELATE</t>
  </si>
  <si>
    <t>KOPI KENANGAN BLACK AREN</t>
  </si>
  <si>
    <t>KOPI KENANGAN AVOCUDDLE</t>
  </si>
  <si>
    <t>KOPI KENANGAN MANTANCINO</t>
  </si>
  <si>
    <t>POWER SPRAY AIR DISFT 250ML</t>
  </si>
  <si>
    <t>JETZ HOLLOW PAPRIKA 14GR</t>
  </si>
  <si>
    <t>089686609004</t>
  </si>
  <si>
    <t>OTO GOLD LINE INTERIOR CLEAN &amp; PROTECT 320ml</t>
  </si>
  <si>
    <t>8997005540575</t>
  </si>
  <si>
    <t>OTO GOLD LINE TIRE SHINE 320ml</t>
  </si>
  <si>
    <t>8997005540582</t>
  </si>
  <si>
    <t>OTO GLO CARWASH &amp; SHINE SHAMPO REF 720mL</t>
  </si>
  <si>
    <t>8997005542746</t>
  </si>
  <si>
    <t>ENGINE ROOM CLEANER 285ml</t>
  </si>
  <si>
    <t>8997005542029</t>
  </si>
  <si>
    <t>OTO GOLD LINE CARWASH &amp; CONDITIONER</t>
  </si>
  <si>
    <t>OTO GOLD LINE WIPER FLUID CONCENTRATE</t>
  </si>
  <si>
    <t>OTO GLO HYPER BLACK TIRE SHINE 165ML</t>
  </si>
  <si>
    <t>TEH BTL SOSRO 350ML</t>
  </si>
  <si>
    <t>GOOD TIME DOUBLE CHOCO 10,6gr</t>
  </si>
  <si>
    <t>FROSBITE YAKOO 60ML</t>
  </si>
  <si>
    <t>FRIENZY STICK KETAN KEJU 130gr</t>
  </si>
  <si>
    <t>TISSUE BASAH MINI 8 SHEETS</t>
  </si>
  <si>
    <t>YC00093</t>
  </si>
  <si>
    <t>RASAE DANISH</t>
  </si>
  <si>
    <t>YC00094</t>
  </si>
  <si>
    <t>RASAE VANILA RING</t>
  </si>
  <si>
    <t>YC00095</t>
  </si>
  <si>
    <t>RASAE SPECULAAS</t>
  </si>
  <si>
    <t>YC00096</t>
  </si>
  <si>
    <t>HIMALAYA SALT LEMON CANDY 15gr</t>
  </si>
  <si>
    <t>MEDE TOPLES EXTRA BIG LARGE</t>
  </si>
  <si>
    <t>YC00099</t>
  </si>
  <si>
    <t>FITBAR CHOCO 25GR</t>
  </si>
  <si>
    <t>FRIENZY KERIPIK GETUK ORIGINAL 180g</t>
  </si>
  <si>
    <t>PRD086TUK</t>
  </si>
  <si>
    <t>FITBAR CHEESE 25GR</t>
  </si>
  <si>
    <t>SPARK LYCHEE PUNCH 250ML</t>
  </si>
  <si>
    <t>FITBAR FRUIT 25GR</t>
  </si>
  <si>
    <t>LARUTAN CAP KAKI 3 ORIG 500ML</t>
  </si>
  <si>
    <t>LARUTAN CAP KAKI 3 LECI 320ML</t>
  </si>
  <si>
    <t>LARUTAN CAP KAKI 3 JERUK 320ML</t>
  </si>
  <si>
    <t>CAP PANDA GRASS JELLY 310ML</t>
  </si>
  <si>
    <t>HANGING CHANCE 8ML</t>
  </si>
  <si>
    <t>BOTTLE GREEN TEA ODOR ELMNTR ]80GR</t>
  </si>
  <si>
    <t>BOTTLE LEMON SQUASH 80GR</t>
  </si>
  <si>
    <t>WAFFLE CHAMOIS 43X32</t>
  </si>
  <si>
    <t>DR. KLIN CHAMOIS 43X32</t>
  </si>
  <si>
    <t>IDEALIFE CAR INVENTER CI-2001</t>
  </si>
  <si>
    <t>OTO GLO CRYSTAL CLEAR WIFER FLUID 400ML</t>
  </si>
  <si>
    <t>LARUTAN CAP KAKI 3 STRAW 320ML</t>
  </si>
  <si>
    <t>BENG BENG 25GR</t>
  </si>
  <si>
    <t>Regal BISCUIT 15GR</t>
  </si>
  <si>
    <t>SUKRO ORIGINAL 20g</t>
  </si>
  <si>
    <t>MIE GEMEZ PREM 22GR</t>
  </si>
  <si>
    <t>Oreo Vanilla Mini 20gr</t>
  </si>
  <si>
    <t>choco pie</t>
  </si>
  <si>
    <t>FT FREEZE 500ML</t>
  </si>
  <si>
    <t>100153</t>
  </si>
  <si>
    <t>GOOD DAY COFEE MOCA 250ML</t>
  </si>
  <si>
    <t>Total</t>
  </si>
  <si>
    <t>-</t>
  </si>
  <si>
    <t>FROZZ CHERY   14 GRM</t>
  </si>
  <si>
    <t>BARANG EXPAYET 2026</t>
  </si>
  <si>
    <t xml:space="preserve">CHIKI BALL COKLAT  </t>
  </si>
  <si>
    <t xml:space="preserve">CHIKI BALL KEJU </t>
  </si>
  <si>
    <t>CHIKI TWINS JAGUNG BAKAR</t>
  </si>
  <si>
    <t xml:space="preserve">CHIKI BALL AYAM </t>
  </si>
  <si>
    <t>JETZ CHOCHO</t>
  </si>
  <si>
    <t>MOMOGI CARAMEL</t>
  </si>
  <si>
    <t>CHIKI BALL AYAM</t>
  </si>
  <si>
    <t>CHIKI BALL COKLAT</t>
  </si>
  <si>
    <t>KEJU BALL KEJU</t>
  </si>
  <si>
    <t>JETZ CHOCO</t>
  </si>
  <si>
    <t>PK LECY</t>
  </si>
  <si>
    <t>MAXICOREN</t>
  </si>
  <si>
    <t>QETELA</t>
  </si>
  <si>
    <t>JETZ TORTILA</t>
  </si>
  <si>
    <t>CHIKI FLAMING HOT</t>
  </si>
  <si>
    <t>BARANG YANG SUDAH DI RETUR</t>
  </si>
  <si>
    <t>BAKPIA PEDES MANIS</t>
  </si>
  <si>
    <t>6958620710578</t>
  </si>
  <si>
    <t>BAKPIA ORIGINAL</t>
  </si>
  <si>
    <t>6958620710622</t>
  </si>
  <si>
    <t>MOMOGI TRUFFLE 12GR</t>
  </si>
  <si>
    <t>8994075240916</t>
  </si>
  <si>
    <t>MOMOGI BUTTER CARAMEL</t>
  </si>
  <si>
    <t>8994075240954</t>
  </si>
  <si>
    <t>QTELA BBQ</t>
  </si>
  <si>
    <t>WASH &amp; WAX CAR SAMPO</t>
  </si>
  <si>
    <t>MEDE SMALL</t>
  </si>
  <si>
    <t>CUBE CR COFFE</t>
  </si>
  <si>
    <t>BARANG RUSAK TUTUP BOCOR</t>
  </si>
  <si>
    <t>98807150008</t>
  </si>
  <si>
    <t>KMS001</t>
  </si>
  <si>
    <t>BUKU</t>
  </si>
  <si>
    <t>Bright Kids Book - Nursery English 2</t>
  </si>
  <si>
    <t xml:space="preserve">Bright Kids Book - Nursery Phonics 1 </t>
  </si>
  <si>
    <t>Bright Kids Book - Nursery Phonics 2</t>
  </si>
  <si>
    <t>BR-Miles Kelly Little Press "Q &amp; A Monkey &amp; Apes"</t>
  </si>
  <si>
    <t>CHIKI BALL COKLAT 16GR</t>
  </si>
  <si>
    <t>TARO NET POTATO BBQ 40GR</t>
  </si>
  <si>
    <t>CHEETOS NET BBQ 40GR</t>
  </si>
  <si>
    <t>TARO NET SEAWEED 40GR</t>
  </si>
  <si>
    <t>JETZ CHOCO FIESTA 40GR</t>
  </si>
  <si>
    <t>CHEETOSRASAJAGUNGBAKAR40GR</t>
  </si>
  <si>
    <t>CHEETOS AYAM BAKAR 40GR</t>
  </si>
  <si>
    <t>CHIKI BALLS RASA AYAM16GR</t>
  </si>
  <si>
    <t>CHIKI BALLS RASA KEJU 16GR</t>
  </si>
  <si>
    <t>HATUR NUHUN KERIPIK AYAM BAWANG 150GR</t>
  </si>
  <si>
    <t>HATUR NUHUN KERIPIK KEJU 150GR</t>
  </si>
  <si>
    <t>HATUR NUHUN KERIPIK BALADO 150GR</t>
  </si>
  <si>
    <t>CUBE HP COFFEE</t>
  </si>
  <si>
    <t>LAYS RUMPUT LAUT 35GR</t>
  </si>
  <si>
    <t>CHITATORSASAPIPGGNG BBQ 35GR</t>
  </si>
  <si>
    <t>CHEETOS AYAM PANGGANG 40GR</t>
  </si>
  <si>
    <t>CHEETOS SEAWED 40 G</t>
  </si>
  <si>
    <t>TEH BTL SOSRO LSJ 450ML</t>
  </si>
  <si>
    <t>QTELA SINGKONG BARBEQUE 60GR</t>
  </si>
  <si>
    <t>QTELA SINGKONG ORIGINAL 60GR</t>
  </si>
  <si>
    <t>QTELS TEMPE RUMPUT LAUT 60GR</t>
  </si>
  <si>
    <t>QTELA TEMPE ORIGINAL 60GR</t>
  </si>
  <si>
    <t>BOTTLE SAKURA 80GR</t>
  </si>
  <si>
    <t>BUTTERFLY WHITE MUSK 200GR</t>
  </si>
  <si>
    <t>BUTTERFLY PEACH 200GR</t>
  </si>
  <si>
    <t>BUTTERFLY SAMURAI 200GR</t>
  </si>
  <si>
    <t>BUTTERFLY LAVENDER 200GR</t>
  </si>
  <si>
    <t>BUUTTERFLY LEMON SQUASH 200GR</t>
  </si>
  <si>
    <t>BR-Learning Fun With Stickers Numbers 123</t>
  </si>
  <si>
    <t>BR-Miles Kelly Little Press "Q &amp; A Endangered Animals"</t>
  </si>
  <si>
    <t>BR-Miles Kelly Little Press "Q &amp; A Seahore Life"</t>
  </si>
  <si>
    <t>BR-Miles Kelly Little Press "Q &amp; A Big Cats"</t>
  </si>
  <si>
    <t>BR-Miles Kelly Little Press "Q &amp; A Coral Reef"</t>
  </si>
  <si>
    <t>BR-Miles Kelly Little Press "Q &amp; A Reptiles &amp; Amphibians"</t>
  </si>
  <si>
    <t>BR-Miles Kelly Little Press "Q &amp; A Whales &amp; Dolphins"</t>
  </si>
  <si>
    <t>BR-Miles Kelly Little Press "Q &amp; A Baby Animals"</t>
  </si>
  <si>
    <t>BR-Miles Kelly Little Press "Q &amp; A Sharks"</t>
  </si>
  <si>
    <t>BR-Miles Kelly Little Press "Q &amp; A Bugs"</t>
  </si>
  <si>
    <t>My First Dot to Dot - Things That Go</t>
  </si>
  <si>
    <t>Step By Step Coloring Book - Transportation</t>
  </si>
  <si>
    <t>Bright Kids Book - IQ 2</t>
  </si>
  <si>
    <t>Bright Kids Book - IQ 1</t>
  </si>
  <si>
    <t xml:space="preserve">Bright Kids Book - IQ K1 </t>
  </si>
  <si>
    <t xml:space="preserve">Bright Kids Book - Learn and Write Letters and Numbers </t>
  </si>
  <si>
    <t>Bright Kids Book - Nursery Maths 1</t>
  </si>
  <si>
    <t>Focus Kids - English K2</t>
  </si>
  <si>
    <t>Focus Kids - English K1</t>
  </si>
  <si>
    <t>Bright Kids Book - K2 English</t>
  </si>
  <si>
    <t>Bright Kids Book - K1 English</t>
  </si>
  <si>
    <t>Bright Kids Book - K2 Phonics</t>
  </si>
  <si>
    <t>Bright Kids Book - K1 Phonics</t>
  </si>
  <si>
    <t>Bright Kids Book - K2 Maths</t>
  </si>
  <si>
    <t>Bright Kids Book - K1 Maths</t>
  </si>
  <si>
    <t>Bright Kids Book - Nursery English 1</t>
  </si>
  <si>
    <t>Phonics Enrichment Book B</t>
  </si>
  <si>
    <t>Phonics Enrichment Book A</t>
  </si>
  <si>
    <t>Phonics Activity Book for Preschoolers 4</t>
  </si>
  <si>
    <t>Phonics Activity Book for Preschoolers 3</t>
  </si>
  <si>
    <t>Phonics Activity Book for Preschoolers 2</t>
  </si>
  <si>
    <t>Phonics Activity Book for Preschoolers 1</t>
  </si>
  <si>
    <t>Phonics Reader for Preschoolers 4</t>
  </si>
  <si>
    <t>Phonics Reader for Preschoolers 3</t>
  </si>
  <si>
    <t>Phonics Reader for Preschoolers 2</t>
  </si>
  <si>
    <t>Phonics Reader for Preschoolers 1</t>
  </si>
  <si>
    <t>My Phonics Readers - Pat Cat and Tat Rat (new)</t>
  </si>
  <si>
    <t>My Phonics Readers - Zag's Pet (new)</t>
  </si>
  <si>
    <t>GLC HAKU MONAKA MATCHA 180ML</t>
  </si>
  <si>
    <t>My Phonics Readers - Dot the Cub (new)</t>
  </si>
  <si>
    <t xml:space="preserve">My Phonics Readers - Greg And Fran (new)      </t>
  </si>
  <si>
    <t>My Phonics Readers - Stan the Stag (new)</t>
  </si>
  <si>
    <t>My Phonics Readers - Dan the Ant  (new)</t>
  </si>
  <si>
    <t>My Phonics Readers - The King's Ring (new)</t>
  </si>
  <si>
    <t>My Phonics Readers - The Lost Sheep (new)</t>
  </si>
  <si>
    <t>My Phonics Readers - Fun at The Mall (new)</t>
  </si>
  <si>
    <t>My Phonics Readers - Roy is going To Town (new)</t>
  </si>
  <si>
    <t>My Phonics Readers - Kate's Cake (new)</t>
  </si>
  <si>
    <t xml:space="preserve">STAR READERS Level 1 - Jim and Lily                       </t>
  </si>
  <si>
    <t xml:space="preserve">STAR READERS Level 1 - Let Us Take a Walk                        </t>
  </si>
  <si>
    <t xml:space="preserve">STAR READERS Level 1 - Baby Bobby                </t>
  </si>
  <si>
    <t xml:space="preserve">STAR READERS Level 1 - Look, A Frog !          </t>
  </si>
  <si>
    <t xml:space="preserve">STAR READERS Level 1 - Fun at School           </t>
  </si>
  <si>
    <t xml:space="preserve">STAR READERS Level 1 - Uncle Sam is Coming              </t>
  </si>
  <si>
    <t xml:space="preserve">HELLO ANIMALS - Busy Little Bess                           </t>
  </si>
  <si>
    <t xml:space="preserve">HELLO ANIMALS - The Happy Baby Elephant                           </t>
  </si>
  <si>
    <t xml:space="preserve">HELLO ANIMALS - Fly, Dragonfly, fly                           </t>
  </si>
  <si>
    <t xml:space="preserve">HELLO ANIMALS - The Hungry Snail                      </t>
  </si>
  <si>
    <t xml:space="preserve">HELLO ANIMALS - The Wiggly Earthworm                      </t>
  </si>
  <si>
    <t xml:space="preserve">HELLO ANIMALS - Little Gecko Loses its tail!              </t>
  </si>
  <si>
    <t xml:space="preserve">HELLO ANIMALS - Croak! I Am a Frog                           </t>
  </si>
  <si>
    <t xml:space="preserve">HELLO ANIMALS - The Beautiful Butterfly                     </t>
  </si>
  <si>
    <t xml:space="preserve">HELLO ANIMALS - Look Out, Little Chicks!                        </t>
  </si>
  <si>
    <t>Let's Guess - Ding-Dong!</t>
  </si>
  <si>
    <t>Let's Guess - Moo!</t>
  </si>
  <si>
    <t>Let's Guess - Vroom!</t>
  </si>
  <si>
    <t xml:space="preserve">Let's Guess - Roar! </t>
  </si>
  <si>
    <t xml:space="preserve">Colour Box - Dinosours                  </t>
  </si>
  <si>
    <t>Colour Box - Things That Move</t>
  </si>
  <si>
    <t xml:space="preserve">Colour Box - Sea Animal                 </t>
  </si>
  <si>
    <t xml:space="preserve">Colour Box - Pets                       </t>
  </si>
  <si>
    <t>Colour Box - Insects</t>
  </si>
  <si>
    <t>Colour Box - In Storyland</t>
  </si>
  <si>
    <t xml:space="preserve">Colour Box - Fairies                    </t>
  </si>
  <si>
    <t>Colour Box - Farm Animals</t>
  </si>
  <si>
    <t>Colour Box - Prehistoric Animals</t>
  </si>
  <si>
    <t>Colour Box - Animal In Danger</t>
  </si>
  <si>
    <t>'Colour Box - Zoo Animals</t>
  </si>
  <si>
    <t>Colour Box - Animal That Are Active At Night</t>
  </si>
  <si>
    <t>MJ PANDACHOCO 45GR</t>
  </si>
  <si>
    <t>MJPANDA STRAW 45GR</t>
  </si>
  <si>
    <t>FISHERMANS F.BLACKCRNT 25GR</t>
  </si>
  <si>
    <t>FISHERMAN FRIEND LEMON 25GR</t>
  </si>
  <si>
    <t>PRINGLES ORIGINAL 110GR</t>
  </si>
  <si>
    <t>PRINGLES SALT AND SEAWED 110GR</t>
  </si>
  <si>
    <t>DFCHACHAMILKCHOC40GR</t>
  </si>
  <si>
    <t>DF CHAHCHA PEANUT 40GR</t>
  </si>
  <si>
    <t>TKNCRISPYBIGCLASSIC4GR</t>
  </si>
  <si>
    <t>TKN CRIPSY BIGSHEET HOT SPC 4GR</t>
  </si>
  <si>
    <t>SOFTIES MASKER 3 PLY 5S</t>
  </si>
  <si>
    <t>NU OCEANA SEASALT LEMONADE 330ML</t>
  </si>
  <si>
    <t>CUBE CR COCOPANDAN</t>
  </si>
  <si>
    <t>TKN BIG ROLL CLASSIC 3,6GR</t>
  </si>
  <si>
    <t>TKN BIG ROLL HOT &amp; SPICY 3,6GR</t>
  </si>
  <si>
    <t>HIGEN MULTI PURPOSE DISINFECTANT 250ML</t>
  </si>
  <si>
    <t>HIGEN MULTI PURPOSE DISINFECTANT 60ML</t>
  </si>
  <si>
    <t>HIGEN HAND SANITIZER 500ML</t>
  </si>
  <si>
    <t>HIGEN HAND SANITIZER 60ML</t>
  </si>
  <si>
    <t>HIGEN DISINFECTANT CLEANER  60ML</t>
  </si>
  <si>
    <t>HIGEN DISINFECTANT CLEANER  250ML</t>
  </si>
  <si>
    <t>FISHERMAN FRIEND RASPBERRY 25GR</t>
  </si>
  <si>
    <t>LE MINERALE 600ML</t>
  </si>
  <si>
    <t>NU GREENTEA ROYAL JASMINE 500ML</t>
  </si>
  <si>
    <t>CHIKI TWIST JAGUNG BAKAR 40GR</t>
  </si>
  <si>
    <t>CUBE CR ORANGE</t>
  </si>
  <si>
    <t>AOI NANO CLUSTER WATER 500ML</t>
  </si>
  <si>
    <t>HI C 1000 LEMON 140ML</t>
  </si>
  <si>
    <t>HI C 1000 ORANGE 140ML</t>
  </si>
  <si>
    <t>QTELA TEMPE CABE RAWIT 60GR</t>
  </si>
  <si>
    <t>Yes I can Read - The Gingerbread Man</t>
  </si>
  <si>
    <t xml:space="preserve">YES! I CAN READ-HENNY PENNY             </t>
  </si>
  <si>
    <t>Yes I can Read - The Shoemaker and the Elves</t>
  </si>
  <si>
    <t>Yes I can Read - The Boy and the Wolf</t>
  </si>
  <si>
    <t xml:space="preserve">YES! I CAN READ-THE WIND AND THE SUN    </t>
  </si>
  <si>
    <t xml:space="preserve">YES!I CAN READ-THE LAZY LION            </t>
  </si>
  <si>
    <t xml:space="preserve">YES!ICAN READ-THE MAGIC POT             </t>
  </si>
  <si>
    <t xml:space="preserve">'Hello Animals! The Hardworking Ants     </t>
  </si>
  <si>
    <t>bright Kids Book - Nursery English 1 (new)</t>
  </si>
  <si>
    <t>Bright Kids Book - Pre Primary English</t>
  </si>
  <si>
    <t>Bright Kids Book - Pre Primary Science</t>
  </si>
  <si>
    <t>Bright Kids Books - Shine in Maths</t>
  </si>
  <si>
    <t>Bright Kids Books - Shine in English</t>
  </si>
  <si>
    <t>Bright Kids Book - Pre Primary Maths</t>
  </si>
  <si>
    <t>STAR READERS L.2 - A SPECIAL DAY</t>
  </si>
  <si>
    <t>STAR READERS L.2 - LITTLE CHIP</t>
  </si>
  <si>
    <t>STAR READERS L.2 - OUR LOVELY GARDEN</t>
  </si>
  <si>
    <t>STAR READERS L.2 - MR DELLS FARM</t>
  </si>
  <si>
    <t>STAR READERS L.2 - IT IS ALL RIGHT !</t>
  </si>
  <si>
    <t>STAR READERS L.2 - WHAT CAN WE GIVE ?</t>
  </si>
  <si>
    <t>STAR READER LEVEL  3 - Shopping with mother</t>
  </si>
  <si>
    <t>STAR READER LEVEL  3 - Jim Goes to the Doctor</t>
  </si>
  <si>
    <t>STAR READER LEVEL  3 - Going On Holiday</t>
  </si>
  <si>
    <t>STAR READER LEVEL  3 - Pandas, Zebras and More</t>
  </si>
  <si>
    <t>STAR READER LEVEL  3 - The Storm</t>
  </si>
  <si>
    <t>STAR READER LEVEL  3 - Wow, a Fire Engine!</t>
  </si>
  <si>
    <t>BR-Unicorn Magic Activity Book</t>
  </si>
  <si>
    <t>My Little Pony Sticker Book</t>
  </si>
  <si>
    <t>Marvel Spiderman 1001 sticker book</t>
  </si>
  <si>
    <t>Disney PIXAR - Colouring Fun Pad</t>
  </si>
  <si>
    <t>Marvel Spiderman - Colouring Fun Pad</t>
  </si>
  <si>
    <t>BR-Beauty And The Beast</t>
  </si>
  <si>
    <t>BR-Sleeping Beauty</t>
  </si>
  <si>
    <t>BR-A Classic Disney Story Book Series "Incredibles 2"</t>
  </si>
  <si>
    <t>Movie Collection - Frozen II</t>
  </si>
  <si>
    <t>BR-Awesome Animals "The World as You've Never Seen it Before"</t>
  </si>
  <si>
    <t>BR-Star Learning Diploma 5-7 Years Phonics</t>
  </si>
  <si>
    <t>BR-Usborne First Reading "The Little Giraffe"</t>
  </si>
  <si>
    <t>Disney Pixar - 1000 Stickers</t>
  </si>
  <si>
    <t>Incredibles 2 - 1001 Stickers</t>
  </si>
  <si>
    <t>BR-Story Time "The Three Billy Goats Gruff"</t>
  </si>
  <si>
    <t>BR-Story Time "Snow White And The Seven Dwarfs"</t>
  </si>
  <si>
    <t>CHIKI TWIST AYAM BAKAR 40GR</t>
  </si>
  <si>
    <t>DF CHACHA PEANUT 50GR</t>
  </si>
  <si>
    <t>CHITATO CHIC SPICY 35GR</t>
  </si>
  <si>
    <t>HANGING SAMURAI AQUA 8ML</t>
  </si>
  <si>
    <t>PIATOS SAPI PANGGANG 35GR</t>
  </si>
  <si>
    <t>ADEM SARI CHINGKU HERBAL 325ml</t>
  </si>
  <si>
    <t>KRATINGDENG RED BULL 250ML</t>
  </si>
  <si>
    <t>YOU C 1000 MANGO 140ML</t>
  </si>
  <si>
    <t>DF CHACHA MILK CHOC 60GR</t>
  </si>
  <si>
    <t>NUTRIVILLE LYCHEE 250ML</t>
  </si>
  <si>
    <t>NUTRIVILLE ANGGUR 250ML</t>
  </si>
  <si>
    <t>CHITATO MAXX SPICY CHIKEN 55GR</t>
  </si>
  <si>
    <t>Write and Learn - Vocabulary</t>
  </si>
  <si>
    <t>Write and Learn - Multiplication</t>
  </si>
  <si>
    <t>Unicorns Sticker Book</t>
  </si>
  <si>
    <t>Colour 1 to 10</t>
  </si>
  <si>
    <t>Colour A to Z</t>
  </si>
  <si>
    <t>Miles Kelly - Horses &amp; Ponies</t>
  </si>
  <si>
    <t>Miles Kelly - Cats and Kittens</t>
  </si>
  <si>
    <t>Miles Kelly - Deadly Creatures</t>
  </si>
  <si>
    <t>Miles Kelly - Dogs and Puppies</t>
  </si>
  <si>
    <t>Miles Kelly - Prehistoric Life</t>
  </si>
  <si>
    <t>Miles Kelly - Bears</t>
  </si>
  <si>
    <t>TARO 3D POTATO JUNGLE CHICKEN 40GR</t>
  </si>
  <si>
    <t>TARO TEMPE CHIKEN UNION 55gr</t>
  </si>
  <si>
    <t>TARO TEMPE TERIYAKI BBQ 55gr</t>
  </si>
  <si>
    <t>KUSUKA SAOS BALADO 60GR</t>
  </si>
  <si>
    <t>TARO 3D JUMPING CHEESE 40GR</t>
  </si>
  <si>
    <t>MEDEGARLIC TOPLES</t>
  </si>
  <si>
    <t>Miles Kelly -  Penguins</t>
  </si>
  <si>
    <t>Miles Kelly - Birds</t>
  </si>
  <si>
    <t>Miles Kelly - Birds of Prey</t>
  </si>
  <si>
    <t>Miles Kelly - Elephants</t>
  </si>
  <si>
    <t xml:space="preserve">YUNIKON TOILET LEMON SPRAY 60ML </t>
  </si>
  <si>
    <t>My Phonics Readers - Rin Gets Meg's Pin (new)</t>
  </si>
  <si>
    <t>KUSUKA SINGKONG BBQ 60G</t>
  </si>
  <si>
    <t>TARO PUFFS ROASTED CORN 60gr</t>
  </si>
  <si>
    <t>CEM-CEM POPCORN CARAMEL 75GR</t>
  </si>
  <si>
    <t>CEM-CEM STICK KEJU 60GR</t>
  </si>
  <si>
    <t>KUSUKA AYAM LADA HITAM 60GR</t>
  </si>
  <si>
    <t xml:space="preserve">CHIKI NET BBQ 65GR </t>
  </si>
  <si>
    <t>FRENCH FRIES 2000 68gr</t>
  </si>
  <si>
    <t>KUSUKA EMPING ORIGINAL 50GR</t>
  </si>
  <si>
    <t>KUSUKA EMPING PEDAS  56GR</t>
  </si>
  <si>
    <t>GLC WAKU WAKU STRAWBERRYLOOP 35ML</t>
  </si>
  <si>
    <t>WAKU-WAKU MIXED BERRY 60ML</t>
  </si>
  <si>
    <t>WAKU-WAKU SWEET LYCHEE 60ML</t>
  </si>
  <si>
    <t>FROSBITE CUP STRAWBERRY VANILA 90ML</t>
  </si>
  <si>
    <t>FROSBITE CUP CHOCO VANILA  90ML</t>
  </si>
  <si>
    <t>FROSBITE CRUNCHY DOUBLE CHOCO 70ML</t>
  </si>
  <si>
    <t>CHITATO RS BUMBU BKR35GR</t>
  </si>
  <si>
    <t>MAXICRON BBQ 55GR</t>
  </si>
  <si>
    <t>POCARI SWEAT PET 350ML</t>
  </si>
  <si>
    <t>THE BTL SOSRO PET 450ML</t>
  </si>
  <si>
    <t>KUSUKA TOPING BALADO 60GR</t>
  </si>
  <si>
    <t>KUSUKA AYAM MADU 20GR</t>
  </si>
  <si>
    <t>KRISBEE 68GR</t>
  </si>
  <si>
    <t>CEM-CEM POPCORN KEJU 75GR</t>
  </si>
  <si>
    <t>WAKU-WAKU NANAS 65ML</t>
  </si>
  <si>
    <t>KUSUKA SINGKONG RUMPUT LAUT 60G</t>
  </si>
  <si>
    <t>KUSUKA UBI MADU 60GR</t>
  </si>
  <si>
    <t>CHEETOS PUFFS CHEDDAR STEAK BBQ 60GR</t>
  </si>
  <si>
    <t xml:space="preserve">KUSUKA KEJU BAKAR 60GR </t>
  </si>
  <si>
    <t>GLICO POCKY CHOCOLATE STICK 47GR</t>
  </si>
  <si>
    <t>GLICO POCKY STRAWBERRY STICK 47GR</t>
  </si>
  <si>
    <t>QTELA SINGKONG BBQ 23GR</t>
  </si>
  <si>
    <t>CHITATORSASAPIPGGNG BBQ 15GR</t>
  </si>
  <si>
    <t>ICHITAN MILK COFFE 300ML</t>
  </si>
  <si>
    <t>ICHITAN KOREAN BANANA MILK 300ML</t>
  </si>
  <si>
    <t>Nextar Choco Brownies 10gr</t>
  </si>
  <si>
    <t>Nextar Pineaple 10gr</t>
  </si>
  <si>
    <t>MR.Potato Rendang Kaleng 35gr</t>
  </si>
  <si>
    <t>DK Kacang Bawang Sukro Oven Bawang 10gr</t>
  </si>
  <si>
    <t>Roma Better Vanila 25gr</t>
  </si>
  <si>
    <t>Oreo Chocolate Mini 20gr</t>
  </si>
  <si>
    <t>Yupi Boulicious Strawberry 40gr</t>
  </si>
  <si>
    <t>Yupi Boulicious Lychee 40gr</t>
  </si>
  <si>
    <t>NABATI RICHEESE WAFER UBI UNGU 5GR</t>
  </si>
  <si>
    <t>NABATI RICHEESE WAFER KEJU 5GR</t>
  </si>
  <si>
    <t>NABATI RICHEESE WAFER COCOPANDAN 5GR</t>
  </si>
  <si>
    <t>NABATI RICHEESE WAFER CHOCO 5GR</t>
  </si>
  <si>
    <t>RICHEESE WAFFLE FRIES BURGER 12GR</t>
  </si>
  <si>
    <t>RICHEESE WAFFLE FRIES FIRE WINGS12GR</t>
  </si>
  <si>
    <t>HELLO PANDA STRAWBERRY 8GR</t>
  </si>
  <si>
    <t>RICHEESE PASTA KEJU 8GR</t>
  </si>
  <si>
    <t>RICHEESE PASTA CHOCO 8GR</t>
  </si>
  <si>
    <t>NABATI RCE KEJU 50GR</t>
  </si>
  <si>
    <t>YUNIKON BODY MIST 60ML LOVE PURPLE</t>
  </si>
  <si>
    <t>YUNIKON BODY MIST 60ML LOVE PINK</t>
  </si>
  <si>
    <t>YUNIKON BODY MIST 60ML LOVE GREEN</t>
  </si>
  <si>
    <t>YUNIKON 2 IN 1 HAIR AND BODY BABY WASH 400ml BLUE pouch</t>
  </si>
  <si>
    <t>YUNIKON 2 IN 1 HAIR AND BODY BABY WASH 400ml GREEN pouch</t>
  </si>
  <si>
    <t>YUNIKON 2 IN 1 HAIR AND BODY BABY WASH 400ml PEACH pouch</t>
  </si>
  <si>
    <t>MEDE TOPLES SMALL</t>
  </si>
  <si>
    <t>LARUTAN CAP KAKI 3 GUAVA 320ML</t>
  </si>
  <si>
    <t>WAKU WAKU COCO LOOP</t>
  </si>
  <si>
    <t>PK MANGO BLACK TEA 450ML</t>
  </si>
  <si>
    <t>POKKA LEMON BLACK TEA BOTOL 450ML</t>
  </si>
  <si>
    <t xml:space="preserve">SNICKERS PEANUT </t>
  </si>
  <si>
    <t>FIT BAR TIRAMISU DELIGHT</t>
  </si>
  <si>
    <t>STOK OPNAME</t>
  </si>
  <si>
    <t>TEHBTLSOSROPET450ML</t>
  </si>
  <si>
    <t>ULTRA MILK COKLAT 250ML</t>
  </si>
  <si>
    <t>ULTRA MILK FULL CREAM 250ML</t>
  </si>
  <si>
    <t>MINUTE MAID PULPY ORANGE 350ML</t>
  </si>
  <si>
    <t>FRESTEA GREEN 500ML</t>
  </si>
  <si>
    <t>FRESTEA APPLE 500ML</t>
  </si>
  <si>
    <t>FRESTEA GREEN HONEY 500ML</t>
  </si>
  <si>
    <t>CAP PANDA LIANG TEA 310ML</t>
  </si>
  <si>
    <t>CAP PANDA SARANG BURUNG 310ML</t>
  </si>
  <si>
    <t>TEH GELAS ORIGINAL PET 350ML</t>
  </si>
  <si>
    <t>FRESTEA JASMINE 500ML</t>
  </si>
  <si>
    <t>SPRITE 390ML</t>
  </si>
  <si>
    <t>COCA COLA CAN 390ML</t>
  </si>
  <si>
    <t>ULTRA SUSU SLIM STRAW 250ML</t>
  </si>
  <si>
    <t>LARUTAN CAP KAKI 3 GRAPE 320ML</t>
  </si>
  <si>
    <t>CHIKI BALLS RASA AYAM10GR</t>
  </si>
  <si>
    <t>CHITATORSAAYAMBBQ35GR</t>
  </si>
  <si>
    <t>MJ PANDAVANILLA 45GR</t>
  </si>
  <si>
    <t>QTELA SINGKONG BALADO 60GR</t>
  </si>
  <si>
    <t>CHACHAMINITUBE40GR</t>
  </si>
  <si>
    <t>CHIKI BALL COKLAT 10GR</t>
  </si>
  <si>
    <t>GARUDAROSTA KACANG OVEN BAWANG 40GR</t>
  </si>
  <si>
    <t>GERRY SALUUT MALKIS 110GR</t>
  </si>
  <si>
    <t>CHIKI BALLS RASA KEJU 10GR</t>
  </si>
  <si>
    <t>CHOCOLATOS GRANDE 16GR</t>
  </si>
  <si>
    <t>CHOCOLATOS DARK 16GR</t>
  </si>
  <si>
    <t>QTELA RS AYAM BAWANG 60GR</t>
  </si>
  <si>
    <t>GLICO POCKY DOUBLE CHOCOLATE 47GR</t>
  </si>
  <si>
    <t>SIIP JAGUNG BAKAR 6,5GR</t>
  </si>
  <si>
    <t>QTELA SINGKONG KEJU PGG 60GR</t>
  </si>
  <si>
    <t>GARUDA KACANG TELUR 22GR</t>
  </si>
  <si>
    <t>QTELA TEMPE DAUN JERUK 60GR</t>
  </si>
  <si>
    <t>JETZ HOLLOW PAPRIKA 40GR</t>
  </si>
  <si>
    <t>BENG-BENG MAX 32GR</t>
  </si>
  <si>
    <t>TIC TAC RS SAPI PANGGANG 23G</t>
  </si>
  <si>
    <t>TIC TAC RS PEDAS 23G</t>
  </si>
  <si>
    <t>ROMA BETTER VANILA 25GR</t>
  </si>
  <si>
    <t>TIC TAC RS AYAM BAWANG 23G</t>
  </si>
  <si>
    <t>OREO SOFTCAKE 16G</t>
  </si>
  <si>
    <t>KRAFT KEJU CAKE 16GR</t>
  </si>
  <si>
    <t>GLICO POCKY CHOCO BANANA 47GR</t>
  </si>
  <si>
    <t>MOMOGI JAGUNG BAKAR 10G</t>
  </si>
  <si>
    <t>MOMOGI KEJU 10 GR</t>
  </si>
  <si>
    <t>MOMOGI COKLAT 8G</t>
  </si>
  <si>
    <t>MAYASI KACANG PEDAS 12GR</t>
  </si>
  <si>
    <t>MAYASI KACANG VEN BWG 12GR</t>
  </si>
  <si>
    <t>TICTAC MIX 26GR</t>
  </si>
  <si>
    <t>ROMA SLAI OLAI PN APPLE 24G</t>
  </si>
  <si>
    <t>BISKUAT BOLU COKLAT 16.6GR</t>
  </si>
  <si>
    <t>BISKUAT BOLU Pandan 16.6GR</t>
  </si>
  <si>
    <t>ROMA SELAI OLAY STRAW 24GR</t>
  </si>
  <si>
    <t>MAYASI KARO PEDAS 15GR</t>
  </si>
  <si>
    <t>GLC FROSTBITE KACANG HIJAU 50ML</t>
  </si>
  <si>
    <t>GLC FROSTBITE PARI-PARI VANILLA 60ML</t>
  </si>
  <si>
    <t>GLC WAKU WAKU CHOCO BOMB</t>
  </si>
  <si>
    <t>GLC WAKU WAKU WATER MELON 60ML</t>
  </si>
  <si>
    <t>FISHERMANS FRIEND ORI25GR</t>
  </si>
  <si>
    <t>XYLITOL FRESH MINT 30GR</t>
  </si>
  <si>
    <t>XYLITOL RASA JERUK NIPIS 30GR</t>
  </si>
  <si>
    <t>XYLITOL RASA STRAWBERRY MINT 30GR</t>
  </si>
  <si>
    <t>FISHERMANS STRONG MINT 25GR</t>
  </si>
  <si>
    <t>XYLITOL RSA BLUBERY 30GR</t>
  </si>
  <si>
    <t>XYLITOL RASA BREEZY MINT 30GR</t>
  </si>
  <si>
    <t>SUGUS STICK BLACKCURRANT 30GR</t>
  </si>
  <si>
    <t>SUGUS STICK ORANGE 30GR</t>
  </si>
  <si>
    <t>SUGUS STICK STRAWBERRY 30GR</t>
  </si>
  <si>
    <t>FISHERMAN FRIEND SPEARMINT 25G</t>
  </si>
  <si>
    <t>VITACIMIN SWEETLETS 20S</t>
  </si>
  <si>
    <t>VITACIMIN ORANGE 20 2</t>
  </si>
  <si>
    <t>OTO GOLD LINE INTERIOR CLEAN &amp; PROTECT</t>
  </si>
  <si>
    <t>OTO GOLD LINE TIRE SHINE</t>
  </si>
  <si>
    <t>AERO BLADE 12 INCHI</t>
  </si>
  <si>
    <t>AERO BLADE 14 INCHI</t>
  </si>
  <si>
    <t>AERO BLADE 15 INCHI</t>
  </si>
  <si>
    <t>AERO BLADE 16 INCHI</t>
  </si>
  <si>
    <t>AERO BLADE 17 INCHI</t>
  </si>
  <si>
    <t>AERO BLADE 18 INCHI</t>
  </si>
  <si>
    <t>AERO BLADE 19 INCHI</t>
  </si>
  <si>
    <t>AERO BLADE 20 INCHI</t>
  </si>
  <si>
    <t>AERO BLADE 21 INCHI</t>
  </si>
  <si>
    <t>AERO BLADE 22 INCHI</t>
  </si>
  <si>
    <t>AERO BLADE 24 INCHI</t>
  </si>
  <si>
    <t>AERO BLADE 26 INCHI</t>
  </si>
  <si>
    <t>MENTOS MINT 37GR</t>
  </si>
  <si>
    <t>CUSSON BABY WPS SOFT&amp;SMOOTH 10S</t>
  </si>
  <si>
    <t>CUSSON BABY WPS MILD&amp;GENTLE 10S</t>
  </si>
  <si>
    <t>CUSSON BABY WPS FRESH&amp;NOURISH 10S</t>
  </si>
  <si>
    <t>CAP PANDA LECI 310ML</t>
  </si>
  <si>
    <t>GLC FROSTBITE DOUBLE CHOCO&amp;NUT</t>
  </si>
  <si>
    <t>GLC WAKU WAKU MELON LOOP 32ML</t>
  </si>
  <si>
    <t>OTO GARD DISINFECTANT</t>
  </si>
  <si>
    <t>NYONYAH KRIPIK GETUK SINGKONG</t>
  </si>
  <si>
    <t>SUKRO BBQ 20GR</t>
  </si>
  <si>
    <t>CUBE HP BREEZY</t>
  </si>
  <si>
    <t>MOMOGI STIK CAPUCCINO 8gr</t>
  </si>
  <si>
    <t>GARUDASUKRO ATM 20GR</t>
  </si>
  <si>
    <t>PK MANGO TEA 450ML</t>
  </si>
  <si>
    <t>SIIP CHOCOLATE 6,5GR</t>
  </si>
  <si>
    <t>SIIP KEJU 6,5GR</t>
  </si>
  <si>
    <t>MOMOGI TUTI FRUITY 10GR</t>
  </si>
  <si>
    <t>TICTAC MIX 23GR</t>
  </si>
  <si>
    <t>KACANG HARFA 130GR</t>
  </si>
  <si>
    <t>GLC WAKU WAKU STRAWBERRY 60ml</t>
  </si>
  <si>
    <t>FANTA COCO PANDAN CAN 390ML</t>
  </si>
  <si>
    <t>MINUTE maid pulpy Grape 350ml</t>
  </si>
  <si>
    <t>DOUBLE MINT STICK PAPERMINT 16.6GR</t>
  </si>
  <si>
    <t>OTO GARD DISINFECTANT PINK 250ML</t>
  </si>
  <si>
    <t>OTO GARD DISINFECTANT BLUE 250ML</t>
  </si>
  <si>
    <t xml:space="preserve">Hello Animals! The Busy Bee             </t>
  </si>
  <si>
    <t xml:space="preserve">Hello Animals! The Happy Baby Elephant  </t>
  </si>
  <si>
    <t xml:space="preserve">Hello Animals! Fly, Dragonfly, Fly      </t>
  </si>
  <si>
    <t>Hello Animals! The Hungry Snail</t>
  </si>
  <si>
    <t xml:space="preserve">Hello Animals! The Wiggle Earthworm     </t>
  </si>
  <si>
    <t xml:space="preserve">Hello Animals! Croak! I Am A Frog       </t>
  </si>
  <si>
    <t xml:space="preserve">'Hello Animals! The Beautifull Butterfly  </t>
  </si>
  <si>
    <t>Hello Animals! Look Out  Little Chicks</t>
  </si>
  <si>
    <t>Fun Phonics - Mac The Rat (1)</t>
  </si>
  <si>
    <t>Fun Phonics - Sid the Cat (2)</t>
  </si>
  <si>
    <t>Fun Phonics - The Twin Clams (6)</t>
  </si>
  <si>
    <t>Fun Phonics - The Fool (7)</t>
  </si>
  <si>
    <t>Fun Phonics - Up a Tree (8)</t>
  </si>
  <si>
    <t>Fun Phonics - I Like Pie (9)</t>
  </si>
  <si>
    <t>Fun Phonics - Jake the Snake (10)</t>
  </si>
  <si>
    <t>Fun Phonics - The King Sings (11)</t>
  </si>
  <si>
    <t>Fun Phonics - Silly Billy (12)</t>
  </si>
  <si>
    <t>GLC FROSTBITE PARI-PARI CHOCOMINT 60ML</t>
  </si>
  <si>
    <t>MENTOS RAINBOW 37GR</t>
  </si>
  <si>
    <t>PASEO TRAVEL PACK 50SX3P</t>
  </si>
  <si>
    <t xml:space="preserve"> NYONYA KERIPIK SINGKONG BALADO</t>
  </si>
  <si>
    <t>IONESIA WATER 450ML</t>
  </si>
  <si>
    <t>CEM-CEM STICK BALADO 60GR</t>
  </si>
  <si>
    <t>CEM-CEM POP CORN KEJU 75GR</t>
  </si>
  <si>
    <t>LARUTAN KAKI 3 COOLTOPIA LIME 320ML</t>
  </si>
  <si>
    <t>POCKY ALMOND STICK 36GR</t>
  </si>
  <si>
    <t>MR.Potato original 35gr</t>
  </si>
  <si>
    <t>Yupi Boulicious Blueberry 40gr</t>
  </si>
  <si>
    <t>UNCHNE BAKPIA ISI ABON ORIGINAL 35GR</t>
  </si>
  <si>
    <t>UNCHNE BAKPIA ISI AYAM SPICY 35GR</t>
  </si>
  <si>
    <t>HELLO PAMDA COKLAT 42GR</t>
  </si>
  <si>
    <t>HELLO PAMDA STRABERY 42GR</t>
  </si>
  <si>
    <t>WAFER TANGO COKLAT 76GR</t>
  </si>
  <si>
    <t>FULLO BLASTO 17GR</t>
  </si>
  <si>
    <t>OREO BISCUIT STRAWBERRY 29,4GR</t>
  </si>
  <si>
    <t>OREO CHCOCOLATE VANILLA29,4GR</t>
  </si>
  <si>
    <t>OREO ICE CREAM BLUBERRY 29.4GR</t>
  </si>
  <si>
    <t>TANGO WAFER STRAW 76GR</t>
  </si>
  <si>
    <t>OREO BISCUIT VANILLA 29.4GR</t>
  </si>
  <si>
    <t>RICHEESE PASTA PASTA KEJU8G</t>
  </si>
  <si>
    <t>JETZ HOLLOW CHILI 40GR</t>
  </si>
  <si>
    <t>BISKUAT BLUE PANDAN 16GR</t>
  </si>
  <si>
    <t>PADDLE POP RAINBOW POWER 55ML</t>
  </si>
  <si>
    <t>PADDLE POP CHOCO MAGMA 55 ML</t>
  </si>
  <si>
    <t>FEAST VANILLA 65ML</t>
  </si>
  <si>
    <t>FEAST CHOCOLATE 65ML</t>
  </si>
  <si>
    <t>CORNETTO DISC CHOC GLEE 120ML</t>
  </si>
  <si>
    <t>MAGNUM ALMOND 90ML</t>
  </si>
  <si>
    <t>MAGNUM CLASSIC 90ML</t>
  </si>
  <si>
    <t>CORNETTO DISC OREO 110ML</t>
  </si>
  <si>
    <t>WALLS ICE CREAM SOLERO SPLIT MANGO &amp; VANILA 64ML</t>
  </si>
  <si>
    <t>MENTOS FRUIT 37GR</t>
  </si>
  <si>
    <t>POP MIE CUP BASO 75GR</t>
  </si>
  <si>
    <t>POP MIE RS.AYAM 75GR</t>
  </si>
  <si>
    <t>\</t>
  </si>
  <si>
    <t>CUBE PIN VANILLA</t>
  </si>
  <si>
    <t>YC000048</t>
  </si>
  <si>
    <t>POP MIE KARI AYAM 75GR</t>
  </si>
  <si>
    <t>CUBE CANEBO</t>
  </si>
  <si>
    <t>YC000065</t>
  </si>
  <si>
    <t>NU OCEANA SEASALT ORANGE 460ML</t>
  </si>
  <si>
    <t>CHITATO ORI 55GR</t>
  </si>
  <si>
    <t>CUBE HP EXPOSE</t>
  </si>
  <si>
    <t>GARUDA SUKRO ATM 20gr</t>
  </si>
  <si>
    <t>Cheetos Ayam Panggang 40gr</t>
  </si>
  <si>
    <t>Tic Tac Original 23gr</t>
  </si>
  <si>
    <t>SPARKLIN SPRAY DISINFECTANT 250ML</t>
  </si>
  <si>
    <t>YC00077</t>
  </si>
  <si>
    <t>YC00078</t>
  </si>
  <si>
    <t>YC00079</t>
  </si>
  <si>
    <t>PADDLE POP TWISTER MERMAID 55ML</t>
  </si>
  <si>
    <t>TARO TEMPE CHIKEN UNION 36gr</t>
  </si>
  <si>
    <t>TARO TEMPE TERIYAKI BBQ 36gr</t>
  </si>
  <si>
    <t>TARO  NET COWBOY STEAK 40GR</t>
  </si>
  <si>
    <t>CAP PANDA CINCAU SELASIH 310ML</t>
  </si>
  <si>
    <t>CHIKI TWIST FLAMING HOT 23GR</t>
  </si>
  <si>
    <t>TARO ITALIAN PIZZA 40GR</t>
  </si>
  <si>
    <t>655314503561</t>
  </si>
  <si>
    <t>055314502227</t>
  </si>
  <si>
    <t>KUSUKA KEJU BAKAR 60GR</t>
  </si>
  <si>
    <t>055314502234</t>
  </si>
  <si>
    <t>FRENCH FRIES 2000 68GR</t>
  </si>
  <si>
    <t>KUSUKA UBI ORIGINAL 60GR</t>
  </si>
  <si>
    <t>POPULAIRE CHOCOLATE 90ML</t>
  </si>
  <si>
    <t>POPULAIRE STRAWBERRY 90ML</t>
  </si>
  <si>
    <t>YC00097</t>
  </si>
  <si>
    <t>YC00098</t>
  </si>
  <si>
    <t>YC00100</t>
  </si>
  <si>
    <t>YC00101</t>
  </si>
  <si>
    <t>JETZ CROISSANT</t>
  </si>
  <si>
    <t>WAFFLE CHOCO HUZELNUT</t>
  </si>
  <si>
    <t xml:space="preserve"> STOK AKHIR </t>
  </si>
  <si>
    <t>NU MILK CHOCOLATE TEA 330ML</t>
  </si>
  <si>
    <t>FANTA STRAWBERRY CAN 390ML</t>
  </si>
  <si>
    <t>COCA-COLA ZERO 350ML</t>
  </si>
  <si>
    <t>NUTRIBOOST STRAWBERRY 330ML</t>
  </si>
  <si>
    <t>NUTRIBOOST ORANGE 330ML</t>
  </si>
  <si>
    <t>FRESTEA GREEN HONEY 350ML</t>
  </si>
  <si>
    <t>FRESTEA APPLE 350ML</t>
  </si>
  <si>
    <t>ASTOR CHOCOLATE STICK ROLLS 40GR</t>
  </si>
  <si>
    <t>OREO SOFTCAKE 16GR</t>
  </si>
  <si>
    <t>OLAIF MULTI-PURPOSE MICROFIBER CLORTH-BLUE</t>
  </si>
  <si>
    <t>OLAIF MULTI-PURPOSE MICROFIBER CLORTH-GREY</t>
  </si>
  <si>
    <t>OLAIF SOFT FACIAL TISSUES-70 SHEETS</t>
  </si>
  <si>
    <t>OLAIF ANTI SEPTIC WET WIPES</t>
  </si>
  <si>
    <t>OLAIF ALCOHOL WET WIPES 10 SHEET</t>
  </si>
  <si>
    <t>YC00088</t>
  </si>
  <si>
    <t>OLAIF MULTI-PURPOSE MAGIC SPONGE</t>
  </si>
  <si>
    <t>OLAIF INSTANT HAND SANITIZER SPRAY</t>
  </si>
  <si>
    <t>GLC HAKU MONAKA MATCHA 180 ML</t>
  </si>
  <si>
    <t>DF TWISTER BLACK VANILA 35GR</t>
  </si>
  <si>
    <t>DF TWISTER BLACK CHOCO 35GR</t>
  </si>
  <si>
    <t xml:space="preserve"> POCKY ALMOND CHOCO DARK 25GR </t>
  </si>
  <si>
    <t xml:space="preserve"> POCKY ALMOND CHOCO MILK 25GR </t>
  </si>
  <si>
    <t xml:space="preserve"> FRIENZY SNACK BISKUIT GEM ROSE 175GR </t>
  </si>
  <si>
    <t xml:space="preserve"> PRD01ROSEGUM </t>
  </si>
  <si>
    <t xml:space="preserve"> FRIENZY POP CORN SWEET CHEESE 50G </t>
  </si>
  <si>
    <t xml:space="preserve"> PRD07PCRNCH </t>
  </si>
  <si>
    <t xml:space="preserve"> FRIENZY SINGKONG MENTEGA 180GR </t>
  </si>
  <si>
    <t xml:space="preserve"> PRD05SNGK </t>
  </si>
  <si>
    <t xml:space="preserve"> FRIENZY RAMBAK SIRLOIN 50GR </t>
  </si>
  <si>
    <t xml:space="preserve"> PRD06RMBK </t>
  </si>
  <si>
    <t xml:space="preserve"> FRIENZY BANANA CARAMEL 150GR </t>
  </si>
  <si>
    <t xml:space="preserve"> PRD04PSGCMRL </t>
  </si>
  <si>
    <t xml:space="preserve"> FRIENZY SPRING ROLLS 175GR </t>
  </si>
  <si>
    <t xml:space="preserve"> PRD03SPRGRL </t>
  </si>
  <si>
    <t xml:space="preserve"> FRIENZY EMPING CARAMEL 150GR </t>
  </si>
  <si>
    <t xml:space="preserve"> PRD02EMPCRML </t>
  </si>
  <si>
    <t xml:space="preserve">CHITATO LITE SEAWED 14GR </t>
  </si>
  <si>
    <t xml:space="preserve"> BOTTLE GREEN TEA ODOR ELMNTR ]80GRRTR</t>
  </si>
  <si>
    <t xml:space="preserve"> BOTTLE LAVENDER 80GR                              RTR</t>
  </si>
  <si>
    <t xml:space="preserve"> BOTTLE LEMON SQUASH 80GR                    RTR</t>
  </si>
  <si>
    <t xml:space="preserve"> BOTTLE WITHMUSK 80GR                              RTR</t>
  </si>
  <si>
    <t xml:space="preserve"> HANGING CHANCE 8ML</t>
  </si>
  <si>
    <t>MIE GEMEZ</t>
  </si>
  <si>
    <t>BENG-BENG NEW EXTRA CHOCOLATE AND CARAMEL 25GR</t>
  </si>
  <si>
    <t>DK SUKRO ORIGINAL 16 GR</t>
  </si>
  <si>
    <t>CHOCO PIE STRAWBERY28GR</t>
  </si>
  <si>
    <t>TEH BOTOL SOSRO ORIG 200ML</t>
  </si>
  <si>
    <t>FITBAR CHOCO DELIGHT</t>
  </si>
  <si>
    <t>FITBAR CHESEE DELIGHT</t>
  </si>
  <si>
    <t>FITBAR FRUITS DELIGHT</t>
  </si>
  <si>
    <t>STOCK EXP</t>
  </si>
  <si>
    <t>DfCHACHAMILKCHOC40GR</t>
  </si>
  <si>
    <t>GLC HAKU MONAKA CHOCO&amp;CHOCO 180ML</t>
  </si>
  <si>
    <t>GLC MONAKA VANILA CRISPY 100ML</t>
  </si>
  <si>
    <t>ADES 600 ML</t>
  </si>
  <si>
    <t>200336</t>
  </si>
  <si>
    <t>MAITOS TORTILLA CHIPS BBQ 55gr</t>
  </si>
  <si>
    <t>JETZ HOLLOW PAPRIKA 20GR</t>
  </si>
  <si>
    <t>LARUTAN CAP KAKI  3 ORIG  500ML</t>
  </si>
  <si>
    <t>FITBAR TIRAMISU 25GR</t>
  </si>
  <si>
    <t>TISU PASEO ELEGANT</t>
  </si>
  <si>
    <t>KOPI KENANGAN DOUBLE EXPRESO</t>
  </si>
  <si>
    <t>KOPI KENANGAN CEESLATE</t>
  </si>
  <si>
    <t>HAKU HAZELNUT</t>
  </si>
  <si>
    <t xml:space="preserve">STOCK BARANG </t>
  </si>
  <si>
    <t>A</t>
  </si>
  <si>
    <t>Nama Item</t>
  </si>
  <si>
    <t>Stok Awal</t>
  </si>
  <si>
    <t>Barang Masuk</t>
  </si>
  <si>
    <t>Wiper Aeroblade 12</t>
  </si>
  <si>
    <t>Wiper Aeroblade 14</t>
  </si>
  <si>
    <t>Wiper Aeroblade 15</t>
  </si>
  <si>
    <t>Wiper Aeroblade 16</t>
  </si>
  <si>
    <t>Wiper Aeroblade 17</t>
  </si>
  <si>
    <t>Wiper Aeroblade 18</t>
  </si>
  <si>
    <t>Wiper Aeroblade 19</t>
  </si>
  <si>
    <t>Wiper Aeroblade 20</t>
  </si>
  <si>
    <t>Wiper Aeroblade 21</t>
  </si>
  <si>
    <t>Wiper Aeroblade 22</t>
  </si>
  <si>
    <t>Wiper Aeroblade 24</t>
  </si>
  <si>
    <t>Wiper Aeroblade 26</t>
  </si>
  <si>
    <t>Kogado Bottle Sakura</t>
  </si>
  <si>
    <t>Kogado Bottle Lavender</t>
  </si>
  <si>
    <t>Kogado Bottle White Musk</t>
  </si>
  <si>
    <t>Kogado Bottle Lemon Squash</t>
  </si>
  <si>
    <t>Kogado Bottle Greentea</t>
  </si>
  <si>
    <t>Kogado Hanging C Chance</t>
  </si>
  <si>
    <t xml:space="preserve">Kogado Hanging Golden </t>
  </si>
  <si>
    <t>Kogado Hanging Moon Sparkle</t>
  </si>
  <si>
    <t>Kogado Hanging Samourai</t>
  </si>
  <si>
    <t>Kogado Butterfly Lemon</t>
  </si>
  <si>
    <t>Kogado Butterfly White musk</t>
  </si>
  <si>
    <t>Kogado Butterfly Peach</t>
  </si>
  <si>
    <t>Kogado Butterfly Samourai</t>
  </si>
  <si>
    <t>Kogado Butterfly Lavender</t>
  </si>
  <si>
    <t>Chamois Waffle</t>
  </si>
  <si>
    <t>Chamois Dr.Klin</t>
  </si>
  <si>
    <t>Cube Papper New Car</t>
  </si>
  <si>
    <t>Cube Papper Tropican</t>
  </si>
  <si>
    <t>Cube Papper Breezy</t>
  </si>
  <si>
    <t>Cube Papper Coffe</t>
  </si>
  <si>
    <t>Cube Papper Lovely Lace</t>
  </si>
  <si>
    <t>Cube Botol Tropican</t>
  </si>
  <si>
    <t>Cube Botol Vanilla</t>
  </si>
  <si>
    <t>Cube Botol Coffe</t>
  </si>
  <si>
    <t>Cube Botol New Car</t>
  </si>
  <si>
    <t>Cube Botol Bubble gum</t>
  </si>
  <si>
    <t>Cube Botol White Tea</t>
  </si>
  <si>
    <t>Cube Botol Lemongrass</t>
  </si>
  <si>
    <t>Cube Botol Lavender</t>
  </si>
  <si>
    <t>Wiper Hokaido Sporty</t>
  </si>
  <si>
    <t>Frienzy Emping Caramel</t>
  </si>
  <si>
    <t>Frienzy Spring Rolls</t>
  </si>
  <si>
    <t>Frienzy Gem Rose</t>
  </si>
  <si>
    <t>Frienzy Pop Corn Cheese</t>
  </si>
  <si>
    <t>Frienzy Rambak Sirluin</t>
  </si>
  <si>
    <t>Frienzy Singkong Mentega</t>
  </si>
  <si>
    <t>Frienzy Banana Caramel</t>
  </si>
  <si>
    <t>Frienzy Stick Ketan Keju</t>
  </si>
  <si>
    <t>Frienzy Pop Corn Caramel</t>
  </si>
  <si>
    <t xml:space="preserve">Frienzy Keripik Getuk Original </t>
  </si>
  <si>
    <t>SINGKONG BALADO</t>
  </si>
  <si>
    <t>TALAS BALADO</t>
  </si>
  <si>
    <t>SINGKONG MENTEGA</t>
  </si>
  <si>
    <t>BANANA CARAMEL</t>
  </si>
  <si>
    <t>EMPING CARAMEL</t>
  </si>
  <si>
    <t>RAMBAK BALADO</t>
  </si>
  <si>
    <t>RAMBAK SIRLUIN</t>
  </si>
  <si>
    <t>SPRING ROLLS</t>
  </si>
  <si>
    <t>SINGKONG BBQ</t>
  </si>
  <si>
    <t>EMPING BALADO</t>
  </si>
  <si>
    <t>MELINJO ARUMANIS</t>
  </si>
  <si>
    <t>COOKIES GULALI</t>
  </si>
  <si>
    <t>Mede Garlic Sachet</t>
  </si>
  <si>
    <t>Mede Garlic Extra Small ( XS )</t>
  </si>
  <si>
    <t xml:space="preserve">Mede Toples Small </t>
  </si>
  <si>
    <t>ALKAKUA KECIL</t>
  </si>
  <si>
    <t>ALKAKUA BESAR</t>
  </si>
  <si>
    <t>MEDE LARGE</t>
  </si>
  <si>
    <t>Mede Garlic Extra Small ( SM )</t>
  </si>
  <si>
    <t xml:space="preserve">PRIMA </t>
  </si>
  <si>
    <t>COCA-COLA</t>
  </si>
  <si>
    <t>SPRITE</t>
  </si>
  <si>
    <t>FANTA</t>
  </si>
  <si>
    <t>TEH BOTOL</t>
  </si>
  <si>
    <t>ADEM SARI</t>
  </si>
  <si>
    <t>FRUITEA</t>
  </si>
  <si>
    <t xml:space="preserve">MEDE TOPLES </t>
  </si>
  <si>
    <t>TEH KOTAK</t>
  </si>
  <si>
    <t>HYDROCOCO</t>
  </si>
  <si>
    <t>NU Greentea Original</t>
  </si>
  <si>
    <t>NU Greentea Choco Hazelnut</t>
  </si>
  <si>
    <t>NU Greentea Honey</t>
  </si>
  <si>
    <t>NU Greentea Yogurt</t>
  </si>
  <si>
    <t>NU Milktea</t>
  </si>
  <si>
    <t>NU Teh Tarik</t>
  </si>
  <si>
    <t>NU Less Sugar</t>
  </si>
  <si>
    <t>NU Jasmine</t>
  </si>
  <si>
    <t>NU Matcha</t>
  </si>
  <si>
    <t xml:space="preserve">Kenangan Indonesiano </t>
  </si>
  <si>
    <t>Kenangan Coffe Latte</t>
  </si>
  <si>
    <t>Kenangan Black Aren</t>
  </si>
  <si>
    <t xml:space="preserve">Kenangan Avocuddle </t>
  </si>
  <si>
    <t>Kenangan Royal Cheese</t>
  </si>
  <si>
    <t>Kenangan Matcha</t>
  </si>
  <si>
    <t>Kenangan Capucino</t>
  </si>
  <si>
    <t>Kenangan Mocha Mint</t>
  </si>
  <si>
    <t>RASAE</t>
  </si>
  <si>
    <t>TISU PASEO</t>
  </si>
  <si>
    <t xml:space="preserve">MINI TISU </t>
  </si>
  <si>
    <t xml:space="preserve">CAR INVERTER </t>
  </si>
  <si>
    <t>YUNIKON ANTIBACTERIAL BABY 50 S BUNDELS</t>
  </si>
  <si>
    <t>YUNIKON DIAPER CHANGE BABY 50 S BUNDELS</t>
  </si>
  <si>
    <t>YUNIKON HAND &amp; MOUTH BABY 50 S BUNDELS</t>
  </si>
  <si>
    <t>YUNIKON UNSCENTED BABY 50 S BUNDELS</t>
  </si>
  <si>
    <t xml:space="preserve">YUNIKON ANTIBACTERIAL BABY 20 S </t>
  </si>
  <si>
    <t xml:space="preserve">YUNIKON DIAPER CHANGE BABY 20 S </t>
  </si>
  <si>
    <t xml:space="preserve">YUNIKON HAND &amp; MOUTH BABY 20 S </t>
  </si>
  <si>
    <t xml:space="preserve">YUNIKON UNSCENTED BABY 20 S </t>
  </si>
  <si>
    <t>YUNIKON TOILET SPRAY</t>
  </si>
  <si>
    <t>YUNIKON HAIR &amp; BODY WASH GREEN</t>
  </si>
  <si>
    <t>YUNIKON HAIR &amp; BODY WASH PEACH</t>
  </si>
  <si>
    <t>YUNIKON HAIR &amp; BODY WASH BLUE</t>
  </si>
  <si>
    <t>YUNIKON HAND WASH PURPLE</t>
  </si>
  <si>
    <t>BABY COLOGNE BLUE</t>
  </si>
  <si>
    <t>BABY COLOGNE GREEN</t>
  </si>
  <si>
    <t>BABY COLOGNE PEACH</t>
  </si>
  <si>
    <t>YUNIKON BODY MIST GREEN</t>
  </si>
  <si>
    <t>YUNIKON BODY MIST PINK</t>
  </si>
  <si>
    <t>YUNIKON BODY MIST PURPLE</t>
  </si>
  <si>
    <t>.</t>
  </si>
  <si>
    <t>YELLOW SUNTER1</t>
  </si>
  <si>
    <t>No</t>
  </si>
  <si>
    <t>Tipe</t>
  </si>
  <si>
    <t>Sisa Stok</t>
  </si>
  <si>
    <t>Wiper HOKAIDO 14</t>
  </si>
  <si>
    <t>Wiper HOKAIDO 16</t>
  </si>
  <si>
    <t>Wiper HOKAIDO 18</t>
  </si>
  <si>
    <t>Wiper HOKAIDO 20</t>
  </si>
  <si>
    <t>Wiper HOKAIDO 22</t>
  </si>
  <si>
    <t>Wiper HOKAIDO 24</t>
  </si>
  <si>
    <t>Wiper HOKAIDO 26</t>
  </si>
  <si>
    <t xml:space="preserve">                                                                                                </t>
  </si>
  <si>
    <t xml:space="preserve">Cube Botol Bubblegum </t>
  </si>
  <si>
    <t>Cube Botol Whitetea</t>
  </si>
  <si>
    <t>HIGEN MULTI PURPOSE DISINFECTANT 250 ML</t>
  </si>
  <si>
    <t>Momogi 12 gr Rumput laut</t>
  </si>
  <si>
    <t>Momogi 12 gr Keju</t>
  </si>
  <si>
    <t>Momogi 12 gr Jagung bakar</t>
  </si>
  <si>
    <t>Momogi 12 gr Coklat</t>
  </si>
  <si>
    <t>Momogi 12 gr Butter caramel</t>
  </si>
  <si>
    <t>Glico Poki Biskuit Strawberry</t>
  </si>
  <si>
    <t>Glico Poki Biskuit Double Choco</t>
  </si>
  <si>
    <t>Glico Poki Biskuit Chocolate</t>
  </si>
  <si>
    <t>Glico Poki Biskuit Cookies &amp; Cream</t>
  </si>
  <si>
    <t>Tango Waffle Avocadolatte</t>
  </si>
  <si>
    <t>Tango Waffle Choco Hazelnut</t>
  </si>
  <si>
    <t>Tango Waffle Cookies &amp; Cream</t>
  </si>
  <si>
    <t>Better Sandwich Biscuit Karamel</t>
  </si>
  <si>
    <t>Better Sandwich Biscuit Coklat</t>
  </si>
  <si>
    <t>Delfi Top Wafer 9 gr Triple Choco</t>
  </si>
  <si>
    <t>Delfi Top Wafer 9 gr Coklat</t>
  </si>
  <si>
    <t>Cheetos Jagung bakar 18gr</t>
  </si>
  <si>
    <t>CHeetos Keju 18gr</t>
  </si>
  <si>
    <t>Happytos Tortilla Chips Jagung bakar 55gr</t>
  </si>
  <si>
    <t>Smax Ring Chese 40gr</t>
  </si>
  <si>
    <t>Chocolts PLW Chocho 21gr</t>
  </si>
  <si>
    <t>French Fries 24gr</t>
  </si>
  <si>
    <t>Taro Snack BBQ 32gr</t>
  </si>
  <si>
    <t>Taro Snack Seawed 32gr</t>
  </si>
  <si>
    <t>Chiki Twits Corn 75gr</t>
  </si>
  <si>
    <t>Chitato Lite Nori 35gr</t>
  </si>
  <si>
    <t>Momogi Chocolate 4,5gr</t>
  </si>
  <si>
    <t>Momogi Keju 4,5gr</t>
  </si>
  <si>
    <t>Lotte Choco Pie 15,6gr</t>
  </si>
  <si>
    <t>Roma Wafer Superstar 25gr</t>
  </si>
  <si>
    <t>Chitato Lite Seawed 35gr</t>
  </si>
  <si>
    <t>Chitato BBQ 35gr</t>
  </si>
  <si>
    <t>Chiki twist jagung bakar 22gr</t>
  </si>
  <si>
    <t>Maxicorn jagung bakar 20gr</t>
  </si>
  <si>
    <t>Jetz chocofiesta 12gr</t>
  </si>
  <si>
    <t>Jetz stick french fries 12gr</t>
  </si>
  <si>
    <t>Chiki ball keju 16gr</t>
  </si>
  <si>
    <t>Chiki ball choco 16gr</t>
  </si>
  <si>
    <t>Chiki ball ayam 16gr</t>
  </si>
  <si>
    <t>Qteela singkong BBQ 30gr</t>
  </si>
  <si>
    <t>FRENZY EMPING CARAMEL</t>
  </si>
  <si>
    <t>FRENZY RAMBAK SIRLOIN</t>
  </si>
  <si>
    <t>FRENZY BISKUIT GUM ROSE</t>
  </si>
  <si>
    <t>FRENZY SINGKONG MENTEGA</t>
  </si>
  <si>
    <t>FRENZY BANANA CARAMEL</t>
  </si>
  <si>
    <t>FRENZY POPCORN CARAMEL</t>
  </si>
  <si>
    <t>FRENZY POP CORN</t>
  </si>
  <si>
    <t>FRENZY SPRING ROLL</t>
  </si>
  <si>
    <t>FRIENZY KETAN KEJU</t>
  </si>
  <si>
    <t>FRIENZY KERIPIK GETUK</t>
  </si>
  <si>
    <t>KERIPIK NYONYA</t>
  </si>
  <si>
    <t>PEYEK</t>
  </si>
  <si>
    <t>Prima Pet</t>
  </si>
  <si>
    <t>Coca cola pet</t>
  </si>
  <si>
    <t>Sprite Pet</t>
  </si>
  <si>
    <t>Fanta Pet</t>
  </si>
  <si>
    <t>Teh Botol Pet</t>
  </si>
  <si>
    <t>Stea Pet</t>
  </si>
  <si>
    <t>Frestea Pet</t>
  </si>
  <si>
    <t>Pulpy orange Pet</t>
  </si>
  <si>
    <t>YOU C 1000 LEMON WATER</t>
  </si>
  <si>
    <t>HYDRO COCO</t>
  </si>
  <si>
    <t>POKKA GREENTEA</t>
  </si>
  <si>
    <t>Fruite Apel</t>
  </si>
  <si>
    <t>Tebs Beling</t>
  </si>
  <si>
    <t>Mineral AOI</t>
  </si>
  <si>
    <t xml:space="preserve">ALKAKUA BESAR </t>
  </si>
  <si>
    <t>Fruite Black Currant</t>
  </si>
  <si>
    <t>Fruite Markisa</t>
  </si>
  <si>
    <t>Fruite Lemon</t>
  </si>
  <si>
    <t>Fruite Freeze</t>
  </si>
  <si>
    <t>Fruite Strawberry</t>
  </si>
  <si>
    <t xml:space="preserve">TISSU MINI </t>
  </si>
  <si>
    <t>TISSU TESSA</t>
  </si>
  <si>
    <t>TISSUE PASEO</t>
  </si>
  <si>
    <t>Yuniko Antibacterial baby wapes 50s</t>
  </si>
  <si>
    <t>Yuniko Diaper chance baby wapes 50s</t>
  </si>
  <si>
    <t>Yuniko Hand and mouth baby wapes 50s</t>
  </si>
  <si>
    <t>Yuniko Uncented baby wapes 50s</t>
  </si>
  <si>
    <t>Yuniko Antibacterial baby wapes 20s</t>
  </si>
  <si>
    <t>Yuniko Diaper chance baby wapes 20s</t>
  </si>
  <si>
    <t>Yuniko Hand and mouth baby wapes 20s</t>
  </si>
  <si>
    <t>Yuniko Uncented baby wapes 20s</t>
  </si>
  <si>
    <t>Yunikon Toilet lemon spray 60 ml</t>
  </si>
  <si>
    <t>Yunikon Hand wash blue 500 ml</t>
  </si>
  <si>
    <t>Yunikon Hand wash green 500 ml</t>
  </si>
  <si>
    <t>Yunikon Hand washn pink 500 ml</t>
  </si>
  <si>
    <t>Yunikon Hand wash purple 500 ml</t>
  </si>
  <si>
    <t xml:space="preserve">Yunikon baby cologne blue 60 ml </t>
  </si>
  <si>
    <t>Yunikon baby cologne peach 60 ml</t>
  </si>
  <si>
    <t>Yunikon Baby cologne green 60 ml</t>
  </si>
  <si>
    <t>Yunikon Body Mist Green 100 ml</t>
  </si>
  <si>
    <t>Yunikon Body Mist Pink 100 ml</t>
  </si>
  <si>
    <t>Yunikon Body Mist Purple 100 ml</t>
  </si>
  <si>
    <t>Yunikon Hair&amp;Body Wash Green 100 ml</t>
  </si>
  <si>
    <t>Yunikon Hair&amp;Body Wash Blue 100 ml</t>
  </si>
  <si>
    <t>Yunikon Hair&amp;Body Wash Peach 100 ml</t>
  </si>
  <si>
    <t>Mede Garlic Sahet</t>
  </si>
  <si>
    <t>Mede Garlic MIDI</t>
  </si>
  <si>
    <t xml:space="preserve">Mede Large </t>
  </si>
  <si>
    <t>Mede Garlic Extra Small ( XM )</t>
  </si>
  <si>
    <t>Mede Garlic  Small ( SM )</t>
  </si>
  <si>
    <t>Mede toples small</t>
  </si>
  <si>
    <t>RASAE VANILLA RING</t>
  </si>
  <si>
    <t>Nu Greentea Honey</t>
  </si>
  <si>
    <t>Nu Greentea Original</t>
  </si>
  <si>
    <t>Nu Greentea Less Sugar</t>
  </si>
  <si>
    <t>Nu Greentea Yogurt</t>
  </si>
  <si>
    <t>Nu Greentea Milktea</t>
  </si>
  <si>
    <t>Nu Greentea Tehtarik</t>
  </si>
  <si>
    <t>Nu Greentea Chocohazel</t>
  </si>
  <si>
    <t>Nu Greentea Rocksugar</t>
  </si>
  <si>
    <t>Nu Greentea Matcha</t>
  </si>
  <si>
    <t xml:space="preserve">Ademsari </t>
  </si>
  <si>
    <t xml:space="preserve">Sagon </t>
  </si>
  <si>
    <t>KopKen indonesiano</t>
  </si>
  <si>
    <t>KopKen CoffeLate</t>
  </si>
  <si>
    <t>KopKen Mantancino</t>
  </si>
  <si>
    <t>KopKen BlackAren</t>
  </si>
  <si>
    <t>KopKen Avocaddle</t>
  </si>
  <si>
    <t>KopKen Matcha</t>
  </si>
  <si>
    <t>KopKen Mochamint</t>
  </si>
  <si>
    <t>KopKen Cheese latte</t>
  </si>
  <si>
    <t>NOTE DIGIGIT TIKUS</t>
  </si>
  <si>
    <t>MAXICORN 1</t>
  </si>
  <si>
    <t>CHITATO BBQ 3</t>
  </si>
  <si>
    <t>QTELLA BBQ 7</t>
  </si>
  <si>
    <t>YUNIKON UNSCENTED 20S 2</t>
  </si>
  <si>
    <t xml:space="preserve">Outlet </t>
  </si>
  <si>
    <t>Tanjung Duren</t>
  </si>
  <si>
    <t>Nama Barang</t>
  </si>
  <si>
    <t>Stock Akhir</t>
  </si>
  <si>
    <t>WIPER HOKAIDO ALL SIZE</t>
  </si>
  <si>
    <t>EMPING BALADO 100 GR</t>
  </si>
  <si>
    <t>EMPING ARUMANIS 100 GR</t>
  </si>
  <si>
    <t>SINGKONG BALADO 150 GR</t>
  </si>
  <si>
    <t>TALAS BALADO 140 GR</t>
  </si>
  <si>
    <t>EMPING CARAMEL 150 GR</t>
  </si>
  <si>
    <t>SPRING ROLL</t>
  </si>
  <si>
    <t>RAMBAK SIRLUIN 50 GR</t>
  </si>
  <si>
    <t>PEYEK KACANG</t>
  </si>
  <si>
    <t>MEDE GARLIC SMALL</t>
  </si>
  <si>
    <t>MEDE GARLIC EXTRASMALL</t>
  </si>
  <si>
    <t>BOTTLE GREEN TEA ODOR ELMNTR 80GR</t>
  </si>
  <si>
    <t>Sparklin</t>
  </si>
  <si>
    <t>CUBE CR BUBBLEGUM</t>
  </si>
  <si>
    <t>CUBE BOTOL NEW CAR</t>
  </si>
  <si>
    <t>CUBE BOTOL White Tea</t>
  </si>
  <si>
    <t>CUBE BOTOL Lavender</t>
  </si>
  <si>
    <t>CUBE HP COFFIE</t>
  </si>
  <si>
    <t>CUBE HP TROPICAN/ BUBLE GUM</t>
  </si>
  <si>
    <t>CUBE HP BREZEE/EXPOSE</t>
  </si>
  <si>
    <t>CUBE HP LOVELYLACE</t>
  </si>
  <si>
    <t>CUBE HP NEW CAR</t>
  </si>
  <si>
    <t>AIR MINERAL PRIMA</t>
  </si>
  <si>
    <t>FRUIT TEA</t>
  </si>
  <si>
    <t>TEBS</t>
  </si>
  <si>
    <t>ES TEA</t>
  </si>
  <si>
    <t>FRUIT TEA 200ML</t>
  </si>
  <si>
    <t>FRUIT TEA MILIK 235 ML</t>
  </si>
  <si>
    <t>Greeantea Original</t>
  </si>
  <si>
    <t>Greeantea Honey</t>
  </si>
  <si>
    <t>Greentea Lesugar</t>
  </si>
  <si>
    <t>Greentea Yogurt</t>
  </si>
  <si>
    <t>Greentea Milk tea</t>
  </si>
  <si>
    <t>Greentea Teh Tarik</t>
  </si>
  <si>
    <t>Greentea Choco hazelnut</t>
  </si>
  <si>
    <t>Greentea mactha latte</t>
  </si>
  <si>
    <t>Greentea royal jasmine [ gula batu ]</t>
  </si>
  <si>
    <t>YUNIKON HAND WASH BLUE</t>
  </si>
  <si>
    <t>YUNIKON HAND WASH GREEN</t>
  </si>
  <si>
    <t>YUNIKON HAND WASH PINK</t>
  </si>
  <si>
    <t>YUNIKON HANDSANITISER GREEN</t>
  </si>
  <si>
    <t>YUNIKON HANDSANITISER PINK</t>
  </si>
  <si>
    <t>TISUE PASEO KERING</t>
  </si>
  <si>
    <t>MINI TISUR</t>
  </si>
  <si>
    <t>TISUE TESSA KERING</t>
  </si>
  <si>
    <t>STOK PRODUK MINIMART OUTLET KARAWANG</t>
  </si>
  <si>
    <t>STOK DISPLAY</t>
  </si>
  <si>
    <t>STOK DIGUDANG</t>
  </si>
  <si>
    <t xml:space="preserve">Prima </t>
  </si>
  <si>
    <t>prima</t>
  </si>
  <si>
    <t>Pucuk</t>
  </si>
  <si>
    <t>you c lemon 500ml</t>
  </si>
  <si>
    <t>Teh botol</t>
  </si>
  <si>
    <t>pocari</t>
  </si>
  <si>
    <t>kopiko 78</t>
  </si>
  <si>
    <t>momogi jagung bakar</t>
  </si>
  <si>
    <t>lucky day</t>
  </si>
  <si>
    <t>momogi rumput laut</t>
  </si>
  <si>
    <t>Nu original</t>
  </si>
  <si>
    <t>pocky strawberry peach yoghurt</t>
  </si>
  <si>
    <t>Nu less sugar</t>
  </si>
  <si>
    <t>pocky blueberry yoghurt</t>
  </si>
  <si>
    <t>Nu madu</t>
  </si>
  <si>
    <t>chiki ball coklat</t>
  </si>
  <si>
    <t>Nu berrytea</t>
  </si>
  <si>
    <t>chiki ball keju</t>
  </si>
  <si>
    <t>Nu teh tarik</t>
  </si>
  <si>
    <t>chitato bbq</t>
  </si>
  <si>
    <t>Nu milk tea</t>
  </si>
  <si>
    <t>chitato lite</t>
  </si>
  <si>
    <t>Nu matcha tea</t>
  </si>
  <si>
    <t>momogi truffle</t>
  </si>
  <si>
    <t>Nu yoghurt</t>
  </si>
  <si>
    <t>momogi coklat</t>
  </si>
  <si>
    <t>Nu chocohazel</t>
  </si>
  <si>
    <t>momogi cocopandan</t>
  </si>
  <si>
    <t>fruittea apple</t>
  </si>
  <si>
    <t>momogi butter caramel</t>
  </si>
  <si>
    <t>fruittea strawberry</t>
  </si>
  <si>
    <t>jetz choco</t>
  </si>
  <si>
    <t>fruittea blackcurrent</t>
  </si>
  <si>
    <t>paseo</t>
  </si>
  <si>
    <t>fruittea freeze</t>
  </si>
  <si>
    <t>cube cr tropican</t>
  </si>
  <si>
    <t>kopken caffelatte</t>
  </si>
  <si>
    <t>cube cr coffee</t>
  </si>
  <si>
    <t>kopken japanese matcha</t>
  </si>
  <si>
    <t>cube cr newcar</t>
  </si>
  <si>
    <t>kopken banana</t>
  </si>
  <si>
    <t>cube cr lavender</t>
  </si>
  <si>
    <t>kopken double espresso</t>
  </si>
  <si>
    <t>cube cr vanila</t>
  </si>
  <si>
    <t>kopken black aren</t>
  </si>
  <si>
    <t>cube cr white tea</t>
  </si>
  <si>
    <t>You c orange 140ml</t>
  </si>
  <si>
    <t>cube cr bubble gum</t>
  </si>
  <si>
    <t>You c orange 500ml</t>
  </si>
  <si>
    <t>cube hp tropican</t>
  </si>
  <si>
    <t>You c lemon 500ml</t>
  </si>
  <si>
    <t>cube hp breezy</t>
  </si>
  <si>
    <t>Pocari</t>
  </si>
  <si>
    <t>cube hp new car</t>
  </si>
  <si>
    <t>Nipis madu</t>
  </si>
  <si>
    <t>cube hp coffee</t>
  </si>
  <si>
    <t>Adem sari</t>
  </si>
  <si>
    <t>cube hp lovely leace</t>
  </si>
  <si>
    <t>chiki ball ayam</t>
  </si>
  <si>
    <t>chiki twist jagung bakar</t>
  </si>
  <si>
    <t>chiki twist flaming hot</t>
  </si>
  <si>
    <t>jetz tortila</t>
  </si>
  <si>
    <t>maxicorn</t>
  </si>
  <si>
    <t>qtela</t>
  </si>
  <si>
    <t>frosbite cookies n cream</t>
  </si>
  <si>
    <t>frosbite choconut cshew</t>
  </si>
  <si>
    <t>frosbite yakoo</t>
  </si>
  <si>
    <t>frosbite boba</t>
  </si>
  <si>
    <t>waku2 chocoloop</t>
  </si>
  <si>
    <t>monaka crispy strawberry</t>
  </si>
  <si>
    <t>monaka crispy vanilla</t>
  </si>
  <si>
    <t>monaka matcha</t>
  </si>
  <si>
    <t>monaka vanilla</t>
  </si>
  <si>
    <t>j cone cookies n cream</t>
  </si>
  <si>
    <t>j cone black n pink</t>
  </si>
  <si>
    <t>cup cookies n cream</t>
  </si>
  <si>
    <t>pocky chocolate</t>
  </si>
  <si>
    <t>pocky double chocolate</t>
  </si>
  <si>
    <t>pocky matcha</t>
  </si>
  <si>
    <t>momogi chocolate</t>
  </si>
  <si>
    <t>fruta gummy</t>
  </si>
  <si>
    <t xml:space="preserve">superstar </t>
  </si>
  <si>
    <t>sagon</t>
  </si>
  <si>
    <t xml:space="preserve">frienzy getuk </t>
  </si>
  <si>
    <t>frienzy singkong mentega</t>
  </si>
  <si>
    <t>frienzy spring roll</t>
  </si>
  <si>
    <t>frienzy banana caramel</t>
  </si>
  <si>
    <t>frienzy biscuit gemrose</t>
  </si>
  <si>
    <t>peyek</t>
  </si>
  <si>
    <t>choky2</t>
  </si>
  <si>
    <t>mede sachet</t>
  </si>
  <si>
    <t>mede big large</t>
  </si>
  <si>
    <t>mede topless</t>
  </si>
  <si>
    <t>mede topless small</t>
  </si>
  <si>
    <t>mede super mini</t>
  </si>
  <si>
    <t>powerspray</t>
  </si>
  <si>
    <t xml:space="preserve">paseo </t>
  </si>
  <si>
    <t>hokaido wiper</t>
  </si>
  <si>
    <t>aeroblade wiper</t>
  </si>
  <si>
    <t>cube cr new car</t>
  </si>
  <si>
    <t>hanging moon sparkle</t>
  </si>
  <si>
    <t>hanging chance</t>
  </si>
  <si>
    <t>bengbeng</t>
  </si>
  <si>
    <t xml:space="preserve">FT BLACK CURRANT 350ML </t>
  </si>
  <si>
    <t>FT APPLE 350ML</t>
  </si>
  <si>
    <t xml:space="preserve">FT STRAWBERRY 350ML </t>
  </si>
  <si>
    <t>PK GUINESS ZERO 330ML</t>
  </si>
  <si>
    <t>TEH  BTL SOSRO LSJ 450ML</t>
  </si>
  <si>
    <t xml:space="preserve">GOOD DAY COFEE MOCA 250ML </t>
  </si>
  <si>
    <t>PK GUINNES ZERO GINGSENG 330ML</t>
  </si>
  <si>
    <t>LARUTAN CAP KAKI  3 ORIG  320ML</t>
  </si>
  <si>
    <t>CAP PANDA LECI 310 ML</t>
  </si>
  <si>
    <t>MOMOGI CAPUCINO</t>
  </si>
  <si>
    <t xml:space="preserve">LAYS RUMPUT LAUT 35GR                   </t>
  </si>
  <si>
    <t>TARO 3D JUNGLE CHIKEN 40GR</t>
  </si>
  <si>
    <t>GARUDAROSTA KACANG OVEN BAWANG
40GR</t>
  </si>
  <si>
    <t>PRINGLES SOUR CREAM&amp;ONION 47G</t>
  </si>
  <si>
    <t>GERY SALUUT M. S.CHESEE110G</t>
  </si>
  <si>
    <t>OREO GOLDEN VANILLA 29,4GR</t>
  </si>
  <si>
    <t>PRINGLES SOUR CREAM &amp; UNION 110GR</t>
  </si>
  <si>
    <t>GERY SALUUT M. COCONUT 110G</t>
  </si>
  <si>
    <t>JETZ HOLLOW PAPRIKA / TORTILLA 40GR</t>
  </si>
  <si>
    <t>TIC TAC PEDAS 23G</t>
  </si>
  <si>
    <t xml:space="preserve">KRAFT KEJU CAKE 16GR          </t>
  </si>
  <si>
    <t>ROMA SLAI  OLAI PN APPLE 24G</t>
  </si>
  <si>
    <t>MAGNUM WHITE ALMOND 90ML</t>
  </si>
  <si>
    <t>WALLS ICE CREAM SANDWICH 80ML</t>
  </si>
  <si>
    <t>MAGNUM VANILA CLASSIC 90ML</t>
  </si>
  <si>
    <t>WALLS KACANG HIJAU STICK 38ML</t>
  </si>
  <si>
    <t>GLC FROSTBITE KACANG HIJAU 50ML        99</t>
  </si>
  <si>
    <t>GLC FROSTBITE PARI-PARI VANILLA 60ML 99</t>
  </si>
  <si>
    <t>GLC FROSTBITE VANILLA CHOCONUT 65ML99</t>
  </si>
  <si>
    <t>GLC WAKU WAKU HAPPY SODA 60ML</t>
  </si>
  <si>
    <t>GLC FROSTBITE CUP PARI-PARI VAN 90 ML99</t>
  </si>
  <si>
    <t>WALLS ICE CREAM SANDWICH STRAW
80ML</t>
  </si>
  <si>
    <t>WALLS KACANG MERAH STICK 38GR</t>
  </si>
  <si>
    <t>WALLS ICE CREAM SOLERO SPLIT  MANGO99
&amp; VANILA 64ML</t>
  </si>
  <si>
    <t>PADLE POP CHOCO LAVA 56 G</t>
  </si>
  <si>
    <t xml:space="preserve">BOTTLE LAVENDER 80GR                             </t>
  </si>
  <si>
    <t xml:space="preserve">BOTTLE SAKURA 80GR                                  </t>
  </si>
  <si>
    <t xml:space="preserve">BOTTLE WITHMUSK 80GR                             </t>
  </si>
  <si>
    <t>BOTTLE GREEN TEA ODOR ELMNTR 80G</t>
  </si>
  <si>
    <t xml:space="preserve">BOTTLE LEMON SQUASH 80GR                   </t>
  </si>
  <si>
    <t>BUTTERFLY WHITE MUSK 200GR                 RTR</t>
  </si>
  <si>
    <t>BUTTERFLY PEACH 200GR                            RTR</t>
  </si>
  <si>
    <t>BUTTERFLY SAMURAI 200GR                        99</t>
  </si>
  <si>
    <t>BUTTERFLY LAVENDER 200GR                     RTR</t>
  </si>
  <si>
    <t>BUUTTERFLY LEMON SQUASH 200GR         RTR</t>
  </si>
  <si>
    <t>WAFFLE CHAMOIS 43X32                               RTR</t>
  </si>
  <si>
    <t>DR. KLIN CHAMOIS 43X32                              RTR</t>
  </si>
  <si>
    <t>AER0 BLADE 12 INCHI</t>
  </si>
  <si>
    <t>AERO BLADE 24  INCHI</t>
  </si>
  <si>
    <t>AERO BLADE 26 INCHI                                    RTR</t>
  </si>
  <si>
    <t>CUBE CANEBO                                                99</t>
  </si>
  <si>
    <t>PK LEMON B TEA 450ML</t>
  </si>
  <si>
    <t>MJ PANDA COOKIES AND CREAM</t>
  </si>
  <si>
    <t>GERY MALKIST GREEN TEA 110 GR</t>
  </si>
  <si>
    <t>GARUDAKCNGATM20GR</t>
  </si>
  <si>
    <t>PADDLE POP TWISTER fruity 85ML</t>
  </si>
  <si>
    <t>FISHERMAN ANNISED</t>
  </si>
  <si>
    <t>CHOCOLATOS CHEESE 15g</t>
  </si>
  <si>
    <t>CORNETTO DISC SILVER QUEEN 110ML</t>
  </si>
  <si>
    <t>GERY MALKIST ABON 110 GR</t>
  </si>
  <si>
    <t>PK HONEY LEMON BTL 350ML</t>
  </si>
  <si>
    <t>JETZ CHOCO FIESTA 18GR</t>
  </si>
  <si>
    <t>HAPPY POP ORIGINAL 52GR</t>
  </si>
  <si>
    <t>MAXICORN JAGUNG BAKAR 18GR</t>
  </si>
  <si>
    <t>MAXICORN JAGUNG BAKAR 55GR</t>
  </si>
  <si>
    <t>CEM-CEM POP CORN CHOCO 55GR</t>
  </si>
  <si>
    <t>MD0001</t>
  </si>
  <si>
    <t>MEDE SMALL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</si>
</sst>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70" formatCode="??????"/>
    <numFmt numFmtId="171" formatCode="_-* #,##0.00_-;\-* #,##0.00_-;_-* &quot;-&quot;??_-;_-@_-"/>
  </numFmts>
  <fonts count="32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</font>
    <font>
      <sz val="10"/>
      <name val="Arial"/>
    </font>
    <font>
      <sz val="10"/>
      <color rgb="FF000000"/>
      <name val="Ari\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Comfortaa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omfortaa"/>
    </font>
    <font>
      <sz val="18"/>
      <color theme="1"/>
      <name val="Comfortaa"/>
    </font>
    <font>
      <sz val="9"/>
      <color theme="1"/>
      <name val="Comic Sans MS"/>
      <family val="4"/>
    </font>
    <font>
      <sz val="10"/>
      <color theme="1"/>
      <name val="Comic Sans MS"/>
      <family val="4"/>
    </font>
    <font>
      <sz val="9"/>
      <color theme="1"/>
      <name val="Comfortaa"/>
    </font>
    <font>
      <sz val="10"/>
      <color theme="1"/>
      <name val="Comfortaa"/>
    </font>
    <font>
      <sz val="8"/>
      <color theme="1"/>
      <name val="Comfortaa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sz val="11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76A5A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</borders>
  <cellStyleXfs count="24">
    <xf numFmtId="0" fontId="0" fillId="0" borderId="0"/>
    <xf numFmtId="43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6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346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5" fillId="2" borderId="2" xfId="1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164" fontId="7" fillId="0" borderId="4" xfId="1" applyNumberFormat="1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64" fontId="7" fillId="0" borderId="0" xfId="1" applyNumberFormat="1" applyFont="1" applyAlignment="1" applyProtection="1">
      <alignment vertical="center"/>
      <protection locked="0"/>
    </xf>
    <xf numFmtId="0" fontId="7" fillId="0" borderId="3" xfId="0" applyFont="1" applyBorder="1" applyAlignment="1">
      <alignment vertical="center"/>
    </xf>
    <xf numFmtId="0" fontId="7" fillId="0" borderId="0" xfId="0" applyFont="1"/>
    <xf numFmtId="0" fontId="7" fillId="0" borderId="6" xfId="0" applyFont="1" applyBorder="1" applyAlignment="1">
      <alignment horizontal="left" vertical="center"/>
    </xf>
    <xf numFmtId="1" fontId="8" fillId="0" borderId="4" xfId="0" applyNumberFormat="1" applyFont="1" applyBorder="1" applyAlignment="1">
      <alignment horizontal="left"/>
    </xf>
    <xf numFmtId="0" fontId="8" fillId="0" borderId="4" xfId="0" applyFont="1" applyBorder="1" applyAlignment="1">
      <alignment horizontal="left" vertical="top"/>
    </xf>
    <xf numFmtId="1" fontId="8" fillId="0" borderId="4" xfId="0" applyNumberFormat="1" applyFont="1" applyBorder="1" applyAlignment="1">
      <alignment horizontal="right"/>
    </xf>
    <xf numFmtId="0" fontId="7" fillId="0" borderId="4" xfId="0" applyFont="1" applyBorder="1"/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horizontal="left" vertical="top"/>
    </xf>
    <xf numFmtId="1" fontId="7" fillId="0" borderId="4" xfId="0" applyNumberFormat="1" applyFont="1" applyBorder="1" applyAlignment="1">
      <alignment horizontal="right"/>
    </xf>
    <xf numFmtId="0" fontId="7" fillId="3" borderId="4" xfId="0" applyFont="1" applyFill="1" applyBorder="1" applyAlignment="1">
      <alignment horizontal="left" vertical="center"/>
    </xf>
    <xf numFmtId="1" fontId="7" fillId="0" borderId="0" xfId="0" applyNumberFormat="1" applyFont="1" applyAlignment="1" applyProtection="1">
      <alignment horizontal="right" vertical="center"/>
      <protection locked="0"/>
    </xf>
    <xf numFmtId="1" fontId="8" fillId="0" borderId="4" xfId="0" quotePrefix="1" applyNumberFormat="1" applyFont="1" applyBorder="1" applyAlignment="1">
      <alignment horizontal="right" vertical="center"/>
    </xf>
    <xf numFmtId="1" fontId="8" fillId="0" borderId="4" xfId="0" applyNumberFormat="1" applyFont="1" applyBorder="1" applyAlignment="1">
      <alignment horizontal="righ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4" xfId="0" applyFont="1" applyFill="1" applyBorder="1"/>
    <xf numFmtId="1" fontId="7" fillId="4" borderId="4" xfId="0" applyNumberFormat="1" applyFont="1" applyFill="1" applyBorder="1" applyAlignment="1">
      <alignment horizontal="right"/>
    </xf>
    <xf numFmtId="1" fontId="7" fillId="0" borderId="4" xfId="0" applyNumberFormat="1" applyFont="1" applyBorder="1"/>
    <xf numFmtId="0" fontId="7" fillId="0" borderId="7" xfId="0" applyFont="1" applyBorder="1" applyAlignment="1">
      <alignment horizontal="left" vertical="center"/>
    </xf>
    <xf numFmtId="0" fontId="7" fillId="0" borderId="7" xfId="0" applyFont="1" applyBorder="1"/>
    <xf numFmtId="1" fontId="7" fillId="0" borderId="7" xfId="0" applyNumberFormat="1" applyFont="1" applyBorder="1"/>
    <xf numFmtId="1" fontId="8" fillId="0" borderId="7" xfId="0" applyNumberFormat="1" applyFont="1" applyBorder="1" applyAlignment="1">
      <alignment horizontal="right" vertical="center"/>
    </xf>
    <xf numFmtId="0" fontId="7" fillId="0" borderId="8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8" fillId="0" borderId="7" xfId="2" applyFont="1" applyBorder="1" applyAlignment="1">
      <alignment vertical="center"/>
    </xf>
    <xf numFmtId="1" fontId="8" fillId="0" borderId="7" xfId="0" applyNumberFormat="1" applyFont="1" applyBorder="1" applyAlignment="1" applyProtection="1">
      <alignment horizontal="right"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1" fontId="8" fillId="0" borderId="4" xfId="0" applyNumberFormat="1" applyFont="1" applyBorder="1" applyAlignment="1" applyProtection="1">
      <alignment horizontal="right" vertical="center"/>
      <protection locked="0"/>
    </xf>
    <xf numFmtId="1" fontId="8" fillId="0" borderId="4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4" xfId="2" applyFont="1" applyBorder="1" applyAlignment="1">
      <alignment vertical="center"/>
    </xf>
    <xf numFmtId="0" fontId="7" fillId="0" borderId="9" xfId="2" applyFont="1" applyBorder="1" applyAlignment="1">
      <alignment horizontal="left"/>
    </xf>
    <xf numFmtId="0" fontId="7" fillId="0" borderId="9" xfId="2" applyFont="1" applyBorder="1" applyAlignment="1">
      <alignment vertical="center"/>
    </xf>
    <xf numFmtId="0" fontId="7" fillId="0" borderId="7" xfId="2" applyFont="1" applyBorder="1" applyAlignment="1">
      <alignment horizontal="left"/>
    </xf>
    <xf numFmtId="0" fontId="7" fillId="0" borderId="7" xfId="2" applyFont="1" applyBorder="1" applyAlignment="1">
      <alignment vertical="center"/>
    </xf>
    <xf numFmtId="1" fontId="7" fillId="0" borderId="7" xfId="2" applyNumberFormat="1" applyFont="1" applyBorder="1" applyAlignment="1">
      <alignment horizontal="right"/>
    </xf>
    <xf numFmtId="0" fontId="7" fillId="0" borderId="4" xfId="5" applyFont="1" applyBorder="1" applyAlignment="1">
      <alignment horizontal="left" vertical="center"/>
    </xf>
    <xf numFmtId="0" fontId="7" fillId="0" borderId="0" xfId="0" quotePrefix="1" applyFont="1" applyAlignment="1">
      <alignment horizontal="right"/>
    </xf>
    <xf numFmtId="0" fontId="7" fillId="5" borderId="4" xfId="5" applyFont="1" applyFill="1" applyBorder="1" applyAlignment="1">
      <alignment horizontal="left" vertical="center"/>
    </xf>
    <xf numFmtId="1" fontId="8" fillId="5" borderId="4" xfId="0" quotePrefix="1" applyNumberFormat="1" applyFont="1" applyFill="1" applyBorder="1" applyAlignment="1">
      <alignment horizontal="right" vertical="center"/>
    </xf>
    <xf numFmtId="1" fontId="7" fillId="5" borderId="4" xfId="6" applyNumberFormat="1" applyFont="1" applyFill="1" applyBorder="1" applyAlignment="1">
      <alignment horizontal="left" vertical="center"/>
    </xf>
    <xf numFmtId="43" fontId="7" fillId="0" borderId="4" xfId="6" applyFont="1" applyBorder="1"/>
    <xf numFmtId="1" fontId="7" fillId="0" borderId="4" xfId="6" applyNumberFormat="1" applyFont="1" applyBorder="1" applyAlignment="1">
      <alignment horizontal="right"/>
    </xf>
    <xf numFmtId="0" fontId="7" fillId="0" borderId="0" xfId="0" applyFont="1" applyAlignment="1" applyProtection="1">
      <alignment horizontal="left" vertical="center"/>
      <protection locked="0"/>
    </xf>
    <xf numFmtId="1" fontId="8" fillId="0" borderId="4" xfId="6" applyNumberFormat="1" applyFont="1" applyFill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7" fillId="0" borderId="6" xfId="2" applyFont="1" applyBorder="1" applyAlignment="1">
      <alignment horizontal="left"/>
    </xf>
    <xf numFmtId="0" fontId="7" fillId="0" borderId="6" xfId="2" applyFont="1" applyBorder="1" applyAlignment="1">
      <alignment vertical="center"/>
    </xf>
    <xf numFmtId="1" fontId="7" fillId="0" borderId="6" xfId="2" applyNumberFormat="1" applyFont="1" applyBorder="1" applyAlignment="1">
      <alignment horizontal="right"/>
    </xf>
    <xf numFmtId="43" fontId="7" fillId="0" borderId="4" xfId="6" applyFont="1" applyBorder="1" applyAlignment="1">
      <alignment horizontal="right"/>
    </xf>
    <xf numFmtId="1" fontId="7" fillId="5" borderId="7" xfId="6" applyNumberFormat="1" applyFont="1" applyFill="1" applyBorder="1" applyAlignment="1">
      <alignment horizontal="left" vertical="center"/>
    </xf>
    <xf numFmtId="43" fontId="7" fillId="0" borderId="7" xfId="6" applyFont="1" applyBorder="1"/>
    <xf numFmtId="43" fontId="7" fillId="0" borderId="7" xfId="6" applyFont="1" applyBorder="1" applyAlignment="1">
      <alignment horizontal="right"/>
    </xf>
    <xf numFmtId="1" fontId="7" fillId="5" borderId="7" xfId="6" applyNumberFormat="1" applyFont="1" applyFill="1" applyBorder="1" applyAlignment="1">
      <alignment horizontal="right" vertical="center"/>
    </xf>
    <xf numFmtId="0" fontId="7" fillId="0" borderId="7" xfId="0" applyFont="1" applyBorder="1" applyAlignment="1">
      <alignment horizontal="left" vertical="top"/>
    </xf>
    <xf numFmtId="0" fontId="7" fillId="0" borderId="4" xfId="0" applyFont="1" applyBorder="1" applyAlignment="1">
      <alignment horizontal="left"/>
    </xf>
    <xf numFmtId="1" fontId="7" fillId="0" borderId="5" xfId="0" quotePrefix="1" applyNumberFormat="1" applyFont="1" applyBorder="1" applyAlignment="1">
      <alignment horizontal="right"/>
    </xf>
    <xf numFmtId="0" fontId="7" fillId="0" borderId="4" xfId="2" applyFont="1" applyBorder="1" applyAlignment="1">
      <alignment vertical="center"/>
    </xf>
    <xf numFmtId="0" fontId="7" fillId="0" borderId="4" xfId="0" quotePrefix="1" applyFont="1" applyBorder="1" applyAlignment="1">
      <alignment horizontal="right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right" vertical="center"/>
    </xf>
    <xf numFmtId="164" fontId="7" fillId="0" borderId="7" xfId="0" applyNumberFormat="1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164" fontId="7" fillId="0" borderId="0" xfId="1" applyNumberFormat="1" applyFont="1" applyFill="1" applyAlignment="1" applyProtection="1">
      <alignment vertical="center"/>
      <protection locked="0"/>
    </xf>
    <xf numFmtId="164" fontId="7" fillId="0" borderId="4" xfId="1" applyNumberFormat="1" applyFont="1" applyFill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10" xfId="0" applyFont="1" applyBorder="1" applyAlignment="1" applyProtection="1">
      <alignment vertic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Alignment="1" applyProtection="1">
      <alignment vertical="center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7" fillId="0" borderId="14" xfId="0" applyFont="1" applyBorder="1" applyAlignment="1" applyProtection="1">
      <alignment vertical="center"/>
      <protection locked="0"/>
    </xf>
    <xf numFmtId="0" fontId="7" fillId="0" borderId="15" xfId="0" applyFont="1" applyBorder="1" applyAlignment="1" applyProtection="1">
      <alignment vertical="center"/>
      <protection locked="0"/>
    </xf>
    <xf numFmtId="1" fontId="8" fillId="0" borderId="4" xfId="0" quotePrefix="1" applyNumberFormat="1" applyFont="1" applyBorder="1" applyAlignment="1" applyProtection="1">
      <alignment horizontal="right" vertical="center"/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7" fillId="0" borderId="17" xfId="0" applyFont="1" applyBorder="1" applyAlignment="1" applyProtection="1">
      <alignment vertical="center"/>
      <protection locked="0"/>
    </xf>
    <xf numFmtId="0" fontId="7" fillId="6" borderId="4" xfId="0" applyFont="1" applyFill="1" applyBorder="1" applyAlignment="1" applyProtection="1">
      <alignment vertical="center"/>
      <protection locked="0"/>
    </xf>
    <xf numFmtId="1" fontId="5" fillId="2" borderId="2" xfId="0" applyNumberFormat="1" applyFont="1" applyFill="1" applyBorder="1" applyAlignment="1">
      <alignment horizontal="right" vertical="center"/>
    </xf>
    <xf numFmtId="1" fontId="7" fillId="0" borderId="4" xfId="0" applyNumberFormat="1" applyFont="1" applyBorder="1" applyAlignment="1">
      <alignment horizontal="right" vertical="center"/>
    </xf>
    <xf numFmtId="1" fontId="7" fillId="0" borderId="7" xfId="0" applyNumberFormat="1" applyFont="1" applyBorder="1" applyAlignment="1">
      <alignment horizontal="right"/>
    </xf>
    <xf numFmtId="1" fontId="7" fillId="0" borderId="9" xfId="2" applyNumberFormat="1" applyFont="1" applyBorder="1" applyAlignment="1">
      <alignment horizontal="right"/>
    </xf>
    <xf numFmtId="1" fontId="7" fillId="0" borderId="0" xfId="0" applyNumberFormat="1" applyFont="1" applyAlignment="1">
      <alignment horizontal="right"/>
    </xf>
    <xf numFmtId="164" fontId="7" fillId="0" borderId="0" xfId="1" applyNumberFormat="1" applyFont="1" applyFill="1" applyAlignment="1" applyProtection="1">
      <alignment horizontal="right" vertical="center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1" applyNumberFormat="1" applyFont="1" applyFill="1" applyBorder="1" applyAlignment="1" applyProtection="1">
      <alignment horizontal="center" vertical="center"/>
      <protection locked="0"/>
    </xf>
    <xf numFmtId="0" fontId="7" fillId="0" borderId="4" xfId="9" applyFont="1" applyBorder="1"/>
    <xf numFmtId="0" fontId="7" fillId="0" borderId="4" xfId="9" applyFont="1" applyBorder="1" applyAlignment="1">
      <alignment vertical="center"/>
    </xf>
    <xf numFmtId="164" fontId="7" fillId="0" borderId="4" xfId="1" applyNumberFormat="1" applyFont="1" applyFill="1" applyBorder="1" applyAlignment="1">
      <alignment vertical="center"/>
    </xf>
    <xf numFmtId="0" fontId="8" fillId="0" borderId="4" xfId="9" applyFont="1" applyBorder="1" applyAlignment="1">
      <alignment vertical="center"/>
    </xf>
    <xf numFmtId="0" fontId="7" fillId="0" borderId="6" xfId="0" applyFont="1" applyBorder="1" applyAlignment="1">
      <alignment horizontal="left" vertical="top"/>
    </xf>
    <xf numFmtId="0" fontId="7" fillId="0" borderId="6" xfId="0" applyFont="1" applyBorder="1" applyAlignment="1">
      <alignment vertical="center" wrapText="1"/>
    </xf>
    <xf numFmtId="0" fontId="7" fillId="0" borderId="9" xfId="9" applyFont="1" applyBorder="1"/>
    <xf numFmtId="0" fontId="7" fillId="0" borderId="9" xfId="9" applyFont="1" applyBorder="1" applyAlignment="1">
      <alignment vertical="center"/>
    </xf>
    <xf numFmtId="0" fontId="7" fillId="0" borderId="7" xfId="9" applyFont="1" applyBorder="1"/>
    <xf numFmtId="0" fontId="7" fillId="0" borderId="7" xfId="9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right" vertical="center"/>
    </xf>
    <xf numFmtId="43" fontId="7" fillId="0" borderId="4" xfId="1" applyFont="1" applyFill="1" applyBorder="1"/>
    <xf numFmtId="0" fontId="7" fillId="0" borderId="4" xfId="0" applyFont="1" applyBorder="1" applyAlignment="1">
      <alignment horizontal="right"/>
    </xf>
    <xf numFmtId="0" fontId="7" fillId="0" borderId="2" xfId="0" applyFont="1" applyBorder="1"/>
    <xf numFmtId="0" fontId="7" fillId="0" borderId="4" xfId="0" applyFont="1" applyBorder="1" applyAlignment="1">
      <alignment horizontal="left" vertical="top" wrapText="1"/>
    </xf>
    <xf numFmtId="1" fontId="8" fillId="0" borderId="7" xfId="0" applyNumberFormat="1" applyFont="1" applyBorder="1" applyAlignment="1">
      <alignment horizontal="right"/>
    </xf>
    <xf numFmtId="0" fontId="8" fillId="0" borderId="7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center"/>
    </xf>
    <xf numFmtId="0" fontId="7" fillId="0" borderId="6" xfId="9" applyFont="1" applyBorder="1"/>
    <xf numFmtId="0" fontId="7" fillId="0" borderId="6" xfId="9" applyFont="1" applyBorder="1" applyAlignment="1">
      <alignment vertical="center"/>
    </xf>
    <xf numFmtId="0" fontId="7" fillId="0" borderId="7" xfId="0" applyFont="1" applyBorder="1" applyAlignment="1" applyProtection="1">
      <alignment vertical="center"/>
      <protection locked="0"/>
    </xf>
    <xf numFmtId="0" fontId="8" fillId="0" borderId="7" xfId="9" applyFont="1" applyBorder="1" applyAlignment="1">
      <alignment vertical="center"/>
    </xf>
    <xf numFmtId="1" fontId="7" fillId="0" borderId="4" xfId="10" applyNumberFormat="1" applyFont="1" applyFill="1" applyBorder="1" applyAlignment="1">
      <alignment vertical="center"/>
    </xf>
    <xf numFmtId="43" fontId="7" fillId="0" borderId="4" xfId="10" applyFont="1" applyFill="1" applyBorder="1"/>
    <xf numFmtId="1" fontId="7" fillId="0" borderId="7" xfId="10" applyNumberFormat="1" applyFont="1" applyFill="1" applyBorder="1" applyAlignment="1">
      <alignment vertical="center"/>
    </xf>
    <xf numFmtId="43" fontId="7" fillId="0" borderId="7" xfId="10" applyFont="1" applyFill="1" applyBorder="1"/>
    <xf numFmtId="0" fontId="7" fillId="0" borderId="6" xfId="0" applyFont="1" applyBorder="1"/>
    <xf numFmtId="0" fontId="9" fillId="0" borderId="8" xfId="0" applyFont="1" applyBorder="1" applyAlignment="1" applyProtection="1">
      <alignment vertical="center"/>
      <protection locked="0"/>
    </xf>
    <xf numFmtId="0" fontId="10" fillId="0" borderId="7" xfId="0" applyFont="1" applyBorder="1" applyAlignment="1">
      <alignment vertical="center"/>
    </xf>
    <xf numFmtId="164" fontId="9" fillId="0" borderId="7" xfId="0" applyNumberFormat="1" applyFont="1" applyBorder="1" applyAlignment="1" applyProtection="1">
      <alignment vertical="center" wrapText="1"/>
      <protection locked="0"/>
    </xf>
    <xf numFmtId="164" fontId="6" fillId="0" borderId="0" xfId="1" applyNumberFormat="1" applyFont="1" applyFill="1" applyAlignment="1" applyProtection="1">
      <alignment vertical="center"/>
      <protection locked="0"/>
    </xf>
    <xf numFmtId="1" fontId="5" fillId="0" borderId="2" xfId="1" applyNumberFormat="1" applyFont="1" applyBorder="1" applyAlignment="1">
      <alignment horizontal="center" vertical="center"/>
    </xf>
    <xf numFmtId="1" fontId="7" fillId="0" borderId="4" xfId="1" applyNumberFormat="1" applyFont="1" applyBorder="1" applyAlignment="1">
      <alignment vertical="center"/>
    </xf>
    <xf numFmtId="1" fontId="7" fillId="0" borderId="4" xfId="1" applyNumberFormat="1" applyFont="1" applyBorder="1"/>
    <xf numFmtId="1" fontId="7" fillId="0" borderId="4" xfId="1" applyNumberFormat="1" applyFont="1" applyBorder="1" applyAlignment="1" applyProtection="1">
      <alignment vertical="center"/>
      <protection locked="0"/>
    </xf>
    <xf numFmtId="1" fontId="8" fillId="0" borderId="4" xfId="1" applyNumberFormat="1" applyFont="1" applyBorder="1" applyAlignment="1">
      <alignment horizontal="right" vertical="center"/>
    </xf>
    <xf numFmtId="1" fontId="7" fillId="0" borderId="6" xfId="1" applyNumberFormat="1" applyFont="1" applyBorder="1" applyAlignment="1">
      <alignment vertical="center"/>
    </xf>
    <xf numFmtId="1" fontId="7" fillId="0" borderId="6" xfId="1" applyNumberFormat="1" applyFont="1" applyBorder="1" applyAlignment="1">
      <alignment vertical="center" wrapText="1"/>
    </xf>
    <xf numFmtId="1" fontId="7" fillId="0" borderId="9" xfId="1" applyNumberFormat="1" applyFont="1" applyBorder="1"/>
    <xf numFmtId="1" fontId="7" fillId="0" borderId="7" xfId="1" applyNumberFormat="1" applyFont="1" applyBorder="1"/>
    <xf numFmtId="1" fontId="7" fillId="0" borderId="7" xfId="1" applyNumberFormat="1" applyFont="1" applyBorder="1" applyAlignment="1">
      <alignment vertical="center"/>
    </xf>
    <xf numFmtId="1" fontId="7" fillId="0" borderId="9" xfId="1" applyNumberFormat="1" applyFont="1" applyBorder="1" applyAlignment="1">
      <alignment vertical="center"/>
    </xf>
    <xf numFmtId="1" fontId="8" fillId="0" borderId="4" xfId="1" applyNumberFormat="1" applyFont="1" applyBorder="1" applyAlignment="1">
      <alignment horizontal="right"/>
    </xf>
    <xf numFmtId="1" fontId="7" fillId="0" borderId="4" xfId="1" applyNumberFormat="1" applyFont="1" applyBorder="1" applyAlignment="1">
      <alignment horizontal="right" vertical="center"/>
    </xf>
    <xf numFmtId="1" fontId="7" fillId="0" borderId="4" xfId="1" applyNumberFormat="1" applyFont="1" applyBorder="1" applyAlignment="1">
      <alignment horizontal="right"/>
    </xf>
    <xf numFmtId="1" fontId="7" fillId="0" borderId="4" xfId="1" applyNumberFormat="1" applyFont="1" applyBorder="1" applyAlignment="1">
      <alignment vertical="center" wrapText="1"/>
    </xf>
    <xf numFmtId="1" fontId="8" fillId="0" borderId="7" xfId="1" applyNumberFormat="1" applyFont="1" applyBorder="1" applyAlignment="1">
      <alignment horizontal="right"/>
    </xf>
    <xf numFmtId="1" fontId="7" fillId="0" borderId="6" xfId="1" applyNumberFormat="1" applyFont="1" applyBorder="1"/>
    <xf numFmtId="1" fontId="7" fillId="0" borderId="7" xfId="1" applyNumberFormat="1" applyFont="1" applyBorder="1" applyAlignment="1" applyProtection="1">
      <alignment vertical="center"/>
      <protection locked="0"/>
    </xf>
    <xf numFmtId="1" fontId="7" fillId="0" borderId="4" xfId="1" applyNumberFormat="1" applyFont="1" applyFill="1" applyBorder="1" applyAlignment="1">
      <alignment vertical="center"/>
    </xf>
    <xf numFmtId="1" fontId="7" fillId="0" borderId="7" xfId="1" applyNumberFormat="1" applyFont="1" applyFill="1" applyBorder="1" applyAlignment="1">
      <alignment vertical="center"/>
    </xf>
    <xf numFmtId="1" fontId="7" fillId="0" borderId="4" xfId="1" quotePrefix="1" applyNumberFormat="1" applyFont="1" applyBorder="1" applyAlignment="1">
      <alignment horizontal="right" vertical="center"/>
    </xf>
    <xf numFmtId="1" fontId="9" fillId="0" borderId="7" xfId="1" applyNumberFormat="1" applyFont="1" applyBorder="1" applyAlignment="1" applyProtection="1">
      <alignment vertical="center"/>
      <protection locked="0"/>
    </xf>
    <xf numFmtId="1" fontId="7" fillId="0" borderId="0" xfId="1" applyNumberFormat="1" applyFont="1" applyAlignment="1" applyProtection="1">
      <alignment vertical="center"/>
      <protection locked="0"/>
    </xf>
    <xf numFmtId="1" fontId="8" fillId="0" borderId="4" xfId="0" applyNumberFormat="1" applyFont="1" applyBorder="1" applyAlignment="1">
      <alignment horizontal="center" vertical="center"/>
    </xf>
    <xf numFmtId="0" fontId="7" fillId="0" borderId="4" xfId="1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43" fontId="7" fillId="0" borderId="2" xfId="1" applyFont="1" applyFill="1" applyBorder="1"/>
    <xf numFmtId="0" fontId="8" fillId="0" borderId="0" xfId="0" applyFont="1" applyAlignment="1">
      <alignment horizontal="left" vertical="top"/>
    </xf>
    <xf numFmtId="0" fontId="8" fillId="0" borderId="0" xfId="9" applyFont="1" applyAlignment="1">
      <alignment vertical="center"/>
    </xf>
    <xf numFmtId="0" fontId="7" fillId="0" borderId="9" xfId="11" applyFont="1" applyBorder="1" applyAlignment="1">
      <alignment vertical="center"/>
    </xf>
    <xf numFmtId="43" fontId="7" fillId="0" borderId="0" xfId="10" applyFont="1" applyFill="1" applyBorder="1"/>
    <xf numFmtId="0" fontId="7" fillId="0" borderId="4" xfId="12" applyFont="1" applyBorder="1"/>
    <xf numFmtId="0" fontId="7" fillId="0" borderId="19" xfId="0" applyFont="1" applyBorder="1" applyAlignment="1" applyProtection="1">
      <alignment vertical="center"/>
      <protection locked="0"/>
    </xf>
    <xf numFmtId="0" fontId="7" fillId="0" borderId="4" xfId="11" applyFont="1" applyBorder="1" applyAlignment="1">
      <alignment horizontal="right" vertical="center"/>
    </xf>
    <xf numFmtId="0" fontId="0" fillId="7" borderId="4" xfId="0" applyFill="1" applyBorder="1"/>
    <xf numFmtId="0" fontId="8" fillId="5" borderId="4" xfId="13" applyFont="1" applyFill="1" applyBorder="1" applyAlignment="1">
      <alignment vertical="center"/>
    </xf>
    <xf numFmtId="0" fontId="8" fillId="3" borderId="4" xfId="13" applyFont="1" applyFill="1" applyBorder="1" applyAlignment="1">
      <alignment vertical="center"/>
    </xf>
    <xf numFmtId="0" fontId="0" fillId="0" borderId="4" xfId="0" applyBorder="1"/>
    <xf numFmtId="0" fontId="11" fillId="0" borderId="4" xfId="0" applyFont="1" applyBorder="1"/>
    <xf numFmtId="0" fontId="12" fillId="0" borderId="4" xfId="0" applyFont="1" applyBorder="1"/>
    <xf numFmtId="164" fontId="7" fillId="0" borderId="7" xfId="0" applyNumberFormat="1" applyFont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1" fontId="7" fillId="0" borderId="6" xfId="9" applyNumberFormat="1" applyFont="1" applyBorder="1" applyAlignment="1">
      <alignment horizontal="right"/>
    </xf>
    <xf numFmtId="0" fontId="7" fillId="2" borderId="6" xfId="9" applyFont="1" applyFill="1" applyBorder="1"/>
    <xf numFmtId="0" fontId="7" fillId="2" borderId="6" xfId="9" applyFont="1" applyFill="1" applyBorder="1" applyAlignment="1">
      <alignment vertical="center"/>
    </xf>
    <xf numFmtId="1" fontId="7" fillId="2" borderId="6" xfId="9" applyNumberFormat="1" applyFont="1" applyFill="1" applyBorder="1" applyAlignment="1">
      <alignment horizontal="right"/>
    </xf>
    <xf numFmtId="1" fontId="7" fillId="0" borderId="7" xfId="9" applyNumberFormat="1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0" fillId="0" borderId="6" xfId="0" applyBorder="1" applyAlignment="1">
      <alignment vertical="center"/>
    </xf>
    <xf numFmtId="1" fontId="8" fillId="0" borderId="7" xfId="0" applyNumberFormat="1" applyFont="1" applyBorder="1" applyAlignment="1">
      <alignment horizontal="center" vertical="center"/>
    </xf>
    <xf numFmtId="1" fontId="7" fillId="0" borderId="7" xfId="0" quotePrefix="1" applyNumberFormat="1" applyFont="1" applyBorder="1" applyAlignment="1">
      <alignment horizontal="right"/>
    </xf>
    <xf numFmtId="1" fontId="7" fillId="0" borderId="4" xfId="0" quotePrefix="1" applyNumberFormat="1" applyFont="1" applyBorder="1" applyAlignment="1">
      <alignment horizontal="right"/>
    </xf>
    <xf numFmtId="1" fontId="13" fillId="0" borderId="4" xfId="0" applyNumberFormat="1" applyFont="1" applyBorder="1" applyAlignment="1">
      <alignment horizontal="right" vertical="center"/>
    </xf>
    <xf numFmtId="0" fontId="13" fillId="0" borderId="4" xfId="0" applyFont="1" applyBorder="1" applyAlignment="1">
      <alignment horizontal="left" vertical="center"/>
    </xf>
    <xf numFmtId="1" fontId="0" fillId="0" borderId="4" xfId="0" applyNumberFormat="1" applyBorder="1"/>
    <xf numFmtId="1" fontId="0" fillId="0" borderId="0" xfId="0" applyNumberFormat="1"/>
    <xf numFmtId="0" fontId="0" fillId="0" borderId="0" xfId="0" quotePrefix="1" applyAlignment="1">
      <alignment horizontal="right"/>
    </xf>
    <xf numFmtId="0" fontId="0" fillId="0" borderId="4" xfId="0" quotePrefix="1" applyBorder="1" applyAlignment="1">
      <alignment horizontal="right"/>
    </xf>
    <xf numFmtId="43" fontId="0" fillId="0" borderId="4" xfId="10" applyFont="1" applyFill="1" applyBorder="1"/>
    <xf numFmtId="43" fontId="0" fillId="0" borderId="4" xfId="10" applyFont="1" applyFill="1" applyBorder="1" applyAlignment="1">
      <alignment horizontal="right"/>
    </xf>
    <xf numFmtId="43" fontId="0" fillId="0" borderId="7" xfId="10" applyFont="1" applyFill="1" applyBorder="1"/>
    <xf numFmtId="43" fontId="0" fillId="0" borderId="7" xfId="10" applyFont="1" applyFill="1" applyBorder="1" applyAlignment="1">
      <alignment horizontal="right"/>
    </xf>
    <xf numFmtId="1" fontId="8" fillId="0" borderId="4" xfId="10" applyNumberFormat="1" applyFont="1" applyFill="1" applyBorder="1" applyAlignment="1">
      <alignment horizontal="right" vertical="center"/>
    </xf>
    <xf numFmtId="0" fontId="7" fillId="2" borderId="4" xfId="11" applyFont="1" applyFill="1" applyBorder="1" applyAlignment="1">
      <alignment vertical="center"/>
    </xf>
    <xf numFmtId="0" fontId="8" fillId="2" borderId="4" xfId="9" applyFont="1" applyFill="1" applyBorder="1" applyAlignment="1">
      <alignment vertical="center"/>
    </xf>
    <xf numFmtId="1" fontId="8" fillId="2" borderId="4" xfId="19" applyNumberFormat="1" applyFont="1" applyFill="1" applyBorder="1" applyAlignment="1" applyProtection="1">
      <alignment horizontal="right" vertical="center"/>
    </xf>
    <xf numFmtId="1" fontId="8" fillId="0" borderId="3" xfId="0" quotePrefix="1" applyNumberFormat="1" applyFont="1" applyBorder="1" applyAlignment="1">
      <alignment horizontal="right" vertical="center"/>
    </xf>
    <xf numFmtId="1" fontId="7" fillId="0" borderId="4" xfId="0" applyNumberFormat="1" applyFont="1" applyBorder="1" applyAlignment="1" applyProtection="1">
      <alignment vertical="center"/>
      <protection locked="0"/>
    </xf>
    <xf numFmtId="0" fontId="7" fillId="3" borderId="4" xfId="11" applyFont="1" applyFill="1" applyBorder="1" applyAlignment="1">
      <alignment vertical="center"/>
    </xf>
    <xf numFmtId="1" fontId="8" fillId="0" borderId="4" xfId="9" applyNumberFormat="1" applyFont="1" applyBorder="1" applyAlignment="1">
      <alignment horizontal="right" vertical="center"/>
    </xf>
    <xf numFmtId="165" fontId="7" fillId="0" borderId="7" xfId="0" applyNumberFormat="1" applyFont="1" applyBorder="1" applyAlignment="1">
      <alignment vertical="center" wrapText="1"/>
    </xf>
    <xf numFmtId="0" fontId="2" fillId="8" borderId="4" xfId="12" applyFill="1" applyBorder="1"/>
    <xf numFmtId="0" fontId="2" fillId="0" borderId="0" xfId="12"/>
    <xf numFmtId="0" fontId="2" fillId="0" borderId="4" xfId="12" applyBorder="1"/>
    <xf numFmtId="0" fontId="7" fillId="0" borderId="0" xfId="12" applyFont="1" applyAlignment="1" applyProtection="1">
      <alignment vertical="center"/>
      <protection locked="0"/>
    </xf>
    <xf numFmtId="0" fontId="5" fillId="0" borderId="1" xfId="12" applyFont="1" applyBorder="1" applyAlignment="1">
      <alignment horizontal="center" vertical="center"/>
    </xf>
    <xf numFmtId="0" fontId="5" fillId="0" borderId="2" xfId="12" applyFont="1" applyBorder="1" applyAlignment="1">
      <alignment horizontal="center" vertical="center"/>
    </xf>
    <xf numFmtId="164" fontId="5" fillId="0" borderId="2" xfId="16" applyNumberFormat="1" applyFont="1" applyFill="1" applyBorder="1" applyAlignment="1" applyProtection="1">
      <alignment horizontal="center" vertical="center"/>
      <protection locked="0"/>
    </xf>
    <xf numFmtId="0" fontId="6" fillId="0" borderId="0" xfId="12" applyFont="1" applyAlignment="1" applyProtection="1">
      <alignment horizontal="center" vertical="center"/>
      <protection locked="0"/>
    </xf>
    <xf numFmtId="164" fontId="5" fillId="0" borderId="18" xfId="16" applyNumberFormat="1" applyFont="1" applyFill="1" applyBorder="1" applyAlignment="1" applyProtection="1">
      <alignment horizontal="center" vertical="center"/>
      <protection locked="0"/>
    </xf>
    <xf numFmtId="0" fontId="7" fillId="0" borderId="3" xfId="12" applyFont="1" applyBorder="1" applyAlignment="1" applyProtection="1">
      <alignment vertical="center"/>
      <protection locked="0"/>
    </xf>
    <xf numFmtId="0" fontId="7" fillId="0" borderId="4" xfId="12" applyFont="1" applyBorder="1" applyAlignment="1">
      <alignment vertical="center"/>
    </xf>
    <xf numFmtId="164" fontId="7" fillId="0" borderId="4" xfId="16" applyNumberFormat="1" applyFont="1" applyFill="1" applyBorder="1" applyAlignment="1" applyProtection="1">
      <alignment vertical="center"/>
      <protection locked="0"/>
    </xf>
    <xf numFmtId="164" fontId="7" fillId="0" borderId="5" xfId="16" applyNumberFormat="1" applyFont="1" applyFill="1" applyBorder="1" applyAlignment="1" applyProtection="1">
      <alignment vertical="center"/>
      <protection locked="0"/>
    </xf>
    <xf numFmtId="0" fontId="7" fillId="0" borderId="3" xfId="12" applyFont="1" applyBorder="1" applyAlignment="1">
      <alignment vertical="center"/>
    </xf>
    <xf numFmtId="0" fontId="7" fillId="0" borderId="0" xfId="12" applyFont="1" applyAlignment="1">
      <alignment vertical="center"/>
    </xf>
    <xf numFmtId="0" fontId="7" fillId="0" borderId="7" xfId="12" applyFont="1" applyBorder="1" applyAlignment="1">
      <alignment vertical="center"/>
    </xf>
    <xf numFmtId="0" fontId="7" fillId="0" borderId="7" xfId="12" applyFont="1" applyBorder="1" applyAlignment="1">
      <alignment horizontal="left" vertical="top"/>
    </xf>
    <xf numFmtId="0" fontId="7" fillId="0" borderId="4" xfId="12" applyFont="1" applyBorder="1" applyAlignment="1">
      <alignment horizontal="left" vertical="top"/>
    </xf>
    <xf numFmtId="1" fontId="8" fillId="0" borderId="7" xfId="12" applyNumberFormat="1" applyFont="1" applyBorder="1" applyAlignment="1">
      <alignment horizontal="right" vertical="center"/>
    </xf>
    <xf numFmtId="0" fontId="8" fillId="0" borderId="7" xfId="12" applyFont="1" applyBorder="1" applyAlignment="1">
      <alignment horizontal="left" vertical="center"/>
    </xf>
    <xf numFmtId="0" fontId="7" fillId="0" borderId="9" xfId="12" applyFont="1" applyBorder="1" applyAlignment="1">
      <alignment vertical="center"/>
    </xf>
    <xf numFmtId="0" fontId="7" fillId="0" borderId="7" xfId="12" applyFont="1" applyBorder="1"/>
    <xf numFmtId="1" fontId="8" fillId="0" borderId="4" xfId="12" applyNumberFormat="1" applyFont="1" applyBorder="1" applyAlignment="1">
      <alignment horizontal="right"/>
    </xf>
    <xf numFmtId="0" fontId="8" fillId="0" borderId="4" xfId="12" applyFont="1" applyBorder="1" applyAlignment="1">
      <alignment horizontal="left" vertical="top"/>
    </xf>
    <xf numFmtId="1" fontId="8" fillId="0" borderId="4" xfId="12" applyNumberFormat="1" applyFont="1" applyBorder="1" applyAlignment="1">
      <alignment horizontal="right" vertical="center"/>
    </xf>
    <xf numFmtId="0" fontId="8" fillId="0" borderId="4" xfId="12" applyFont="1" applyBorder="1" applyAlignment="1">
      <alignment horizontal="left" vertical="center"/>
    </xf>
    <xf numFmtId="0" fontId="7" fillId="0" borderId="4" xfId="12" applyFont="1" applyBorder="1" applyAlignment="1">
      <alignment horizontal="right" vertical="center"/>
    </xf>
    <xf numFmtId="43" fontId="7" fillId="0" borderId="4" xfId="16" applyFont="1" applyFill="1" applyBorder="1"/>
    <xf numFmtId="0" fontId="7" fillId="0" borderId="2" xfId="12" applyFont="1" applyBorder="1"/>
    <xf numFmtId="0" fontId="7" fillId="0" borderId="4" xfId="12" applyFont="1" applyBorder="1" applyAlignment="1">
      <alignment vertical="center" wrapText="1"/>
    </xf>
    <xf numFmtId="0" fontId="7" fillId="0" borderId="7" xfId="12" applyFont="1" applyBorder="1" applyAlignment="1">
      <alignment vertical="center" wrapText="1"/>
    </xf>
    <xf numFmtId="0" fontId="7" fillId="0" borderId="6" xfId="12" applyFont="1" applyBorder="1"/>
    <xf numFmtId="0" fontId="7" fillId="0" borderId="0" xfId="12" applyFont="1"/>
    <xf numFmtId="0" fontId="7" fillId="0" borderId="4" xfId="12" applyFont="1" applyBorder="1" applyAlignment="1" applyProtection="1">
      <alignment vertical="center"/>
      <protection locked="0"/>
    </xf>
    <xf numFmtId="0" fontId="7" fillId="0" borderId="6" xfId="12" applyFont="1" applyBorder="1" applyAlignment="1">
      <alignment vertical="center" wrapText="1"/>
    </xf>
    <xf numFmtId="0" fontId="7" fillId="0" borderId="8" xfId="12" applyFont="1" applyBorder="1" applyAlignment="1">
      <alignment vertical="center"/>
    </xf>
    <xf numFmtId="0" fontId="8" fillId="0" borderId="7" xfId="12" applyFont="1" applyBorder="1" applyAlignment="1">
      <alignment vertical="center"/>
    </xf>
    <xf numFmtId="164" fontId="7" fillId="0" borderId="7" xfId="12" applyNumberFormat="1" applyFont="1" applyBorder="1" applyAlignment="1">
      <alignment vertical="center"/>
    </xf>
    <xf numFmtId="164" fontId="7" fillId="0" borderId="20" xfId="12" applyNumberFormat="1" applyFont="1" applyBorder="1" applyAlignment="1">
      <alignment vertical="center"/>
    </xf>
    <xf numFmtId="164" fontId="7" fillId="0" borderId="0" xfId="16" applyNumberFormat="1" applyFont="1" applyFill="1" applyAlignment="1" applyProtection="1">
      <alignment vertical="center"/>
      <protection locked="0"/>
    </xf>
    <xf numFmtId="0" fontId="16" fillId="0" borderId="6" xfId="12" applyFont="1" applyBorder="1" applyAlignment="1">
      <alignment horizontal="center"/>
    </xf>
    <xf numFmtId="0" fontId="16" fillId="0" borderId="6" xfId="12" applyFont="1" applyBorder="1"/>
    <xf numFmtId="164" fontId="16" fillId="0" borderId="6" xfId="12" applyNumberFormat="1" applyFont="1" applyBorder="1" applyAlignment="1">
      <alignment horizontal="center"/>
    </xf>
    <xf numFmtId="0" fontId="17" fillId="0" borderId="6" xfId="12" applyFont="1" applyBorder="1" applyAlignment="1">
      <alignment horizontal="center"/>
    </xf>
    <xf numFmtId="0" fontId="16" fillId="0" borderId="25" xfId="12" applyFont="1" applyBorder="1"/>
    <xf numFmtId="0" fontId="16" fillId="11" borderId="6" xfId="12" applyFont="1" applyFill="1" applyBorder="1"/>
    <xf numFmtId="0" fontId="16" fillId="0" borderId="0" xfId="12" applyFont="1" applyAlignment="1">
      <alignment horizontal="center"/>
    </xf>
    <xf numFmtId="0" fontId="17" fillId="8" borderId="6" xfId="12" applyFont="1" applyFill="1" applyBorder="1"/>
    <xf numFmtId="0" fontId="17" fillId="12" borderId="21" xfId="12" applyFont="1" applyFill="1" applyBorder="1"/>
    <xf numFmtId="164" fontId="16" fillId="12" borderId="6" xfId="12" applyNumberFormat="1" applyFont="1" applyFill="1" applyBorder="1" applyAlignment="1">
      <alignment horizontal="center"/>
    </xf>
    <xf numFmtId="0" fontId="16" fillId="0" borderId="0" xfId="12" applyFont="1"/>
    <xf numFmtId="0" fontId="19" fillId="0" borderId="0" xfId="12" applyFont="1"/>
    <xf numFmtId="14" fontId="19" fillId="0" borderId="0" xfId="12" applyNumberFormat="1" applyFont="1"/>
    <xf numFmtId="0" fontId="21" fillId="13" borderId="0" xfId="12" applyFont="1" applyFill="1" applyAlignment="1">
      <alignment horizontal="center" vertical="center"/>
    </xf>
    <xf numFmtId="0" fontId="23" fillId="0" borderId="0" xfId="12" applyFont="1" applyAlignment="1">
      <alignment horizontal="center"/>
    </xf>
    <xf numFmtId="0" fontId="23" fillId="0" borderId="25" xfId="12" applyFont="1" applyBorder="1" applyAlignment="1">
      <alignment horizontal="center"/>
    </xf>
    <xf numFmtId="0" fontId="23" fillId="0" borderId="22" xfId="12" applyFont="1" applyBorder="1"/>
    <xf numFmtId="164" fontId="24" fillId="0" borderId="22" xfId="12" applyNumberFormat="1" applyFont="1" applyBorder="1" applyAlignment="1">
      <alignment horizontal="center"/>
    </xf>
    <xf numFmtId="0" fontId="24" fillId="0" borderId="22" xfId="12" applyFont="1" applyBorder="1" applyAlignment="1">
      <alignment horizontal="center"/>
    </xf>
    <xf numFmtId="164" fontId="24" fillId="0" borderId="22" xfId="12" applyNumberFormat="1" applyFont="1" applyBorder="1"/>
    <xf numFmtId="0" fontId="24" fillId="0" borderId="22" xfId="12" applyFont="1" applyBorder="1"/>
    <xf numFmtId="0" fontId="19" fillId="0" borderId="22" xfId="12" applyFont="1" applyBorder="1"/>
    <xf numFmtId="0" fontId="23" fillId="11" borderId="22" xfId="12" applyFont="1" applyFill="1" applyBorder="1"/>
    <xf numFmtId="0" fontId="24" fillId="11" borderId="22" xfId="12" applyFont="1" applyFill="1" applyBorder="1"/>
    <xf numFmtId="0" fontId="19" fillId="11" borderId="22" xfId="12" applyFont="1" applyFill="1" applyBorder="1"/>
    <xf numFmtId="0" fontId="25" fillId="0" borderId="22" xfId="12" applyFont="1" applyBorder="1"/>
    <xf numFmtId="0" fontId="19" fillId="13" borderId="0" xfId="12" applyFont="1" applyFill="1"/>
    <xf numFmtId="0" fontId="19" fillId="13" borderId="25" xfId="12" applyFont="1" applyFill="1" applyBorder="1"/>
    <xf numFmtId="0" fontId="19" fillId="13" borderId="22" xfId="12" applyFont="1" applyFill="1" applyBorder="1"/>
    <xf numFmtId="0" fontId="24" fillId="13" borderId="22" xfId="12" applyFont="1" applyFill="1" applyBorder="1"/>
    <xf numFmtId="164" fontId="24" fillId="13" borderId="22" xfId="12" applyNumberFormat="1" applyFont="1" applyFill="1" applyBorder="1" applyAlignment="1">
      <alignment horizontal="center"/>
    </xf>
    <xf numFmtId="0" fontId="21" fillId="0" borderId="0" xfId="20" applyFont="1" applyAlignment="1">
      <alignment horizontal="center"/>
    </xf>
    <xf numFmtId="0" fontId="17" fillId="0" borderId="0" xfId="20" applyFont="1"/>
    <xf numFmtId="0" fontId="17" fillId="0" borderId="0" xfId="20" applyFont="1" applyAlignment="1">
      <alignment horizontal="center"/>
    </xf>
    <xf numFmtId="0" fontId="26" fillId="0" borderId="0" xfId="20"/>
    <xf numFmtId="0" fontId="21" fillId="0" borderId="0" xfId="20" applyFont="1"/>
    <xf numFmtId="0" fontId="21" fillId="0" borderId="6" xfId="20" applyFont="1" applyBorder="1" applyAlignment="1">
      <alignment horizontal="center"/>
    </xf>
    <xf numFmtId="0" fontId="21" fillId="0" borderId="6" xfId="20" applyFont="1" applyBorder="1"/>
    <xf numFmtId="0" fontId="21" fillId="11" borderId="6" xfId="20" applyFont="1" applyFill="1" applyBorder="1" applyAlignment="1">
      <alignment horizontal="center"/>
    </xf>
    <xf numFmtId="0" fontId="21" fillId="14" borderId="6" xfId="20" applyFont="1" applyFill="1" applyBorder="1" applyAlignment="1">
      <alignment horizontal="center"/>
    </xf>
    <xf numFmtId="0" fontId="27" fillId="0" borderId="6" xfId="20" applyFont="1" applyBorder="1" applyAlignment="1">
      <alignment horizontal="center"/>
    </xf>
    <xf numFmtId="0" fontId="21" fillId="11" borderId="6" xfId="20" applyFont="1" applyFill="1" applyBorder="1" applyAlignment="1">
      <alignment horizontal="left"/>
    </xf>
    <xf numFmtId="0" fontId="21" fillId="15" borderId="6" xfId="20" applyFont="1" applyFill="1" applyBorder="1" applyAlignment="1">
      <alignment horizontal="center"/>
    </xf>
    <xf numFmtId="0" fontId="17" fillId="16" borderId="0" xfId="20" applyFont="1" applyFill="1" applyAlignment="1">
      <alignment horizontal="center"/>
    </xf>
    <xf numFmtId="0" fontId="20" fillId="0" borderId="0" xfId="12" applyFont="1" applyAlignment="1">
      <alignment horizontal="center"/>
    </xf>
    <xf numFmtId="0" fontId="2" fillId="0" borderId="0" xfId="12"/>
    <xf numFmtId="0" fontId="21" fillId="13" borderId="27" xfId="12" applyFont="1" applyFill="1" applyBorder="1" applyAlignment="1">
      <alignment horizontal="center" vertical="center"/>
    </xf>
    <xf numFmtId="0" fontId="18" fillId="0" borderId="28" xfId="12" applyFont="1" applyBorder="1"/>
    <xf numFmtId="0" fontId="22" fillId="13" borderId="27" xfId="12" applyFont="1" applyFill="1" applyBorder="1" applyAlignment="1">
      <alignment horizontal="center" vertical="center" wrapText="1"/>
    </xf>
    <xf numFmtId="16" fontId="22" fillId="13" borderId="27" xfId="12" applyNumberFormat="1" applyFont="1" applyFill="1" applyBorder="1" applyAlignment="1">
      <alignment horizontal="center" vertical="center" wrapText="1"/>
    </xf>
    <xf numFmtId="0" fontId="22" fillId="13" borderId="9" xfId="12" applyFont="1" applyFill="1" applyBorder="1" applyAlignment="1">
      <alignment horizontal="center" vertical="center" wrapText="1"/>
    </xf>
    <xf numFmtId="0" fontId="18" fillId="0" borderId="25" xfId="12" applyFont="1" applyBorder="1"/>
    <xf numFmtId="0" fontId="16" fillId="10" borderId="9" xfId="12" applyFont="1" applyFill="1" applyBorder="1" applyAlignment="1">
      <alignment horizontal="center" wrapText="1"/>
    </xf>
    <xf numFmtId="0" fontId="16" fillId="10" borderId="9" xfId="12" applyFont="1" applyFill="1" applyBorder="1" applyAlignment="1">
      <alignment horizontal="center"/>
    </xf>
    <xf numFmtId="0" fontId="21" fillId="13" borderId="9" xfId="20" applyFont="1" applyFill="1" applyBorder="1" applyAlignment="1">
      <alignment horizontal="center" wrapText="1"/>
    </xf>
    <xf numFmtId="0" fontId="8" fillId="0" borderId="25" xfId="20" applyFont="1" applyBorder="1"/>
    <xf numFmtId="0" fontId="21" fillId="15" borderId="23" xfId="20" applyFont="1" applyFill="1" applyBorder="1" applyAlignment="1">
      <alignment horizontal="center"/>
    </xf>
    <xf numFmtId="0" fontId="8" fillId="0" borderId="26" xfId="20" applyFont="1" applyBorder="1"/>
    <xf numFmtId="0" fontId="14" fillId="9" borderId="5" xfId="12" applyFont="1" applyFill="1" applyBorder="1" applyAlignment="1" applyProtection="1">
      <alignment horizontal="center" vertical="center"/>
      <protection locked="0"/>
    </xf>
    <xf numFmtId="0" fontId="14" fillId="9" borderId="24" xfId="12" applyFont="1" applyFill="1" applyBorder="1" applyAlignment="1" applyProtection="1">
      <alignment horizontal="center" vertical="center"/>
      <protection locked="0"/>
    </xf>
    <xf numFmtId="0" fontId="14" fillId="9" borderId="3" xfId="12" applyFont="1" applyFill="1" applyBorder="1" applyAlignment="1" applyProtection="1">
      <alignment horizontal="center" vertical="center"/>
      <protection locked="0"/>
    </xf>
    <xf numFmtId="0" fontId="15" fillId="9" borderId="5" xfId="12" applyFont="1" applyFill="1" applyBorder="1" applyAlignment="1" applyProtection="1">
      <alignment horizontal="center" vertical="center"/>
      <protection locked="0"/>
    </xf>
    <xf numFmtId="0" fontId="15" fillId="9" borderId="24" xfId="12" applyFont="1" applyFill="1" applyBorder="1" applyAlignment="1" applyProtection="1">
      <alignment horizontal="center" vertical="center"/>
      <protection locked="0"/>
    </xf>
    <xf numFmtId="0" fontId="15" fillId="9" borderId="3" xfId="12" applyFont="1" applyFill="1" applyBorder="1" applyAlignment="1" applyProtection="1">
      <alignment horizontal="center" vertical="center"/>
      <protection locked="0"/>
    </xf>
    <xf numFmtId="0" fontId="7" fillId="0" borderId="4" xfId="21" applyFont="1" applyBorder="1"/>
    <xf numFmtId="0" fontId="7" fillId="0" borderId="4" xfId="21" applyFont="1" applyBorder="1" applyAlignment="1">
      <alignment vertical="center"/>
    </xf>
    <xf numFmtId="170" fontId="28" fillId="0" borderId="4" xfId="0" applyNumberFormat="1" applyFont="1" applyBorder="1" applyAlignment="1">
      <alignment horizontal="right"/>
    </xf>
    <xf numFmtId="0" fontId="28" fillId="0" borderId="4" xfId="0" applyFont="1" applyBorder="1" applyAlignment="1">
      <alignment horizontal="left" vertical="top"/>
    </xf>
    <xf numFmtId="0" fontId="7" fillId="0" borderId="4" xfId="5" applyFont="1" applyBorder="1" applyAlignment="1">
      <alignment vertical="center"/>
    </xf>
    <xf numFmtId="0" fontId="8" fillId="0" borderId="4" xfId="21" applyFont="1" applyBorder="1" applyAlignment="1">
      <alignment vertical="center"/>
    </xf>
    <xf numFmtId="1" fontId="8" fillId="0" borderId="4" xfId="19" applyNumberFormat="1" applyFont="1" applyFill="1" applyBorder="1" applyAlignment="1" applyProtection="1">
      <alignment horizontal="right"/>
    </xf>
    <xf numFmtId="171" fontId="8" fillId="0" borderId="4" xfId="19" applyNumberFormat="1" applyFont="1" applyFill="1" applyBorder="1" applyAlignment="1" applyProtection="1">
      <alignment horizontal="left" vertical="top"/>
    </xf>
    <xf numFmtId="0" fontId="7" fillId="0" borderId="4" xfId="0" applyFont="1" applyBorder="1" applyAlignment="1" applyProtection="1">
      <alignment horizontal="right"/>
      <protection locked="0"/>
    </xf>
    <xf numFmtId="1" fontId="8" fillId="0" borderId="6" xfId="19" applyNumberFormat="1" applyFont="1" applyFill="1" applyBorder="1" applyAlignment="1" applyProtection="1">
      <alignment horizontal="right"/>
    </xf>
    <xf numFmtId="1" fontId="8" fillId="0" borderId="23" xfId="19" applyNumberFormat="1" applyFont="1" applyFill="1" applyBorder="1" applyAlignment="1" applyProtection="1">
      <alignment horizontal="right"/>
    </xf>
    <xf numFmtId="0" fontId="7" fillId="0" borderId="4" xfId="22" applyFont="1" applyBorder="1" applyAlignment="1">
      <alignment horizontal="left" vertical="top"/>
    </xf>
    <xf numFmtId="1" fontId="7" fillId="0" borderId="4" xfId="0" applyNumberFormat="1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29" fillId="0" borderId="4" xfId="0" applyFont="1" applyBorder="1" applyAlignment="1">
      <alignment horizontal="right" wrapText="1"/>
    </xf>
    <xf numFmtId="0" fontId="7" fillId="0" borderId="4" xfId="0" applyFont="1" applyBorder="1" applyAlignment="1" applyProtection="1">
      <alignment horizontal="left" vertical="top"/>
      <protection locked="0"/>
    </xf>
    <xf numFmtId="0" fontId="30" fillId="0" borderId="4" xfId="0" applyFont="1" applyBorder="1" applyAlignment="1">
      <alignment horizontal="left" vertical="top"/>
    </xf>
    <xf numFmtId="43" fontId="8" fillId="0" borderId="4" xfId="1" applyFont="1" applyFill="1" applyBorder="1" applyAlignment="1" applyProtection="1">
      <alignment horizontal="left" vertical="top"/>
    </xf>
    <xf numFmtId="0" fontId="7" fillId="0" borderId="6" xfId="0" applyFont="1" applyBorder="1" applyAlignment="1">
      <alignment horizontal="right"/>
    </xf>
    <xf numFmtId="0" fontId="8" fillId="0" borderId="6" xfId="0" applyFont="1" applyBorder="1" applyAlignment="1">
      <alignment horizontal="left" vertical="top"/>
    </xf>
    <xf numFmtId="0" fontId="7" fillId="0" borderId="6" xfId="0" applyFont="1" applyBorder="1" applyAlignment="1">
      <alignment horizontal="left"/>
    </xf>
    <xf numFmtId="0" fontId="7" fillId="0" borderId="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right"/>
    </xf>
    <xf numFmtId="0" fontId="8" fillId="0" borderId="4" xfId="21" applyFont="1" applyBorder="1" applyAlignment="1">
      <alignment vertical="top"/>
    </xf>
    <xf numFmtId="0" fontId="7" fillId="0" borderId="7" xfId="21" applyFont="1" applyBorder="1"/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right" vertical="center"/>
    </xf>
    <xf numFmtId="43" fontId="7" fillId="0" borderId="7" xfId="1" applyFont="1" applyFill="1" applyBorder="1"/>
    <xf numFmtId="0" fontId="7" fillId="0" borderId="7" xfId="21" applyFont="1" applyBorder="1" applyAlignment="1">
      <alignment vertical="center"/>
    </xf>
    <xf numFmtId="0" fontId="8" fillId="0" borderId="0" xfId="21" applyFont="1" applyAlignment="1">
      <alignment vertical="center"/>
    </xf>
    <xf numFmtId="1" fontId="7" fillId="0" borderId="4" xfId="23" applyNumberFormat="1" applyFont="1" applyFill="1" applyBorder="1" applyAlignment="1">
      <alignment vertical="center"/>
    </xf>
    <xf numFmtId="43" fontId="7" fillId="0" borderId="4" xfId="23" applyFont="1" applyFill="1" applyBorder="1"/>
    <xf numFmtId="1" fontId="7" fillId="0" borderId="7" xfId="23" applyNumberFormat="1" applyFont="1" applyFill="1" applyBorder="1" applyAlignment="1">
      <alignment vertical="center"/>
    </xf>
    <xf numFmtId="43" fontId="7" fillId="0" borderId="7" xfId="23" applyFont="1" applyFill="1" applyBorder="1"/>
    <xf numFmtId="0" fontId="31" fillId="0" borderId="6" xfId="0" applyFont="1" applyBorder="1" applyAlignment="1">
      <alignment vertical="center"/>
    </xf>
    <xf numFmtId="1" fontId="7" fillId="0" borderId="7" xfId="23" applyNumberFormat="1" applyFont="1" applyFill="1" applyBorder="1" applyAlignment="1">
      <alignment horizontal="right" vertical="center"/>
    </xf>
    <xf numFmtId="164" fontId="7" fillId="0" borderId="7" xfId="0" applyNumberFormat="1" applyFont="1" applyBorder="1" applyAlignment="1">
      <alignment vertical="center" wrapText="1"/>
    </xf>
  </cellXfs>
  <cellStyles count="24">
    <cellStyle name="Comma" xfId="1" builtinId="3"/>
    <cellStyle name="Comma [0] 2" xfId="18" xr:uid="{09B4FDFA-3C65-49B8-960B-CFE688BCBD51}"/>
    <cellStyle name="Comma [0] 4" xfId="3" xr:uid="{B3A3E40F-FF38-452C-8AD7-454A2B3D13F0}"/>
    <cellStyle name="Comma [0] 4 2" xfId="17" xr:uid="{E3BC85E2-0719-4D26-B8BB-0F0C86C03B6B}"/>
    <cellStyle name="Comma 10" xfId="16" xr:uid="{85057653-E1EA-4BD8-94E4-84D2AFC45D08}"/>
    <cellStyle name="Comma 7" xfId="7" xr:uid="{15AADE4F-08A2-45EF-B592-962C359918E8}"/>
    <cellStyle name="Comma 7 2" xfId="14" xr:uid="{4335D65B-0EAE-4EAC-9078-31B1EA029F8B}"/>
    <cellStyle name="Comma 76" xfId="6" xr:uid="{C361CC9A-C446-4088-9B02-257C3AD8940F}"/>
    <cellStyle name="Comma 76 2" xfId="10" xr:uid="{6B53CB6E-74B8-485C-B71F-F9DCA9B3F8D5}"/>
    <cellStyle name="Comma 76 3" xfId="23" xr:uid="{86916A59-0FC0-4C94-BB70-BDA39A7706E1}"/>
    <cellStyle name="Comma 8" xfId="8" xr:uid="{DDB9C683-9652-476D-AEAF-8CA128BCF09E}"/>
    <cellStyle name="Comma 8 2" xfId="15" xr:uid="{3FBE2EE2-8808-436C-A840-04642102514A}"/>
    <cellStyle name="Comma 94" xfId="4" xr:uid="{49FA45A9-1153-473F-B1E2-5BFFC0F96A88}"/>
    <cellStyle name="Comma 96" xfId="19" xr:uid="{2A90ABCB-F293-41AA-BF8E-E7DDE5A25435}"/>
    <cellStyle name="Normal" xfId="0" builtinId="0"/>
    <cellStyle name="Normal 15" xfId="22" xr:uid="{A8FD55E0-BDD6-4C69-BAED-75D5E4739EF1}"/>
    <cellStyle name="Normal 17" xfId="12" xr:uid="{2C5B3C6C-CB0D-445B-AF0F-40CFC73043F1}"/>
    <cellStyle name="Normal 18" xfId="5" xr:uid="{7A4859C0-2FA8-4BF8-BE2D-D2E72E0CBE1A}"/>
    <cellStyle name="Normal 18 2" xfId="11" xr:uid="{77C62B7D-AAF6-4B0F-8715-4A1E9EEAF788}"/>
    <cellStyle name="Normal 2" xfId="20" xr:uid="{F8A5C0C9-57B1-4F0B-B99D-2AC0A7212444}"/>
    <cellStyle name="Normal 4" xfId="2" xr:uid="{20CE7F53-3855-4378-9B83-C92D50016BD3}"/>
    <cellStyle name="Normal 4 2" xfId="9" xr:uid="{12BB08C8-3D85-40AD-A0A7-5A9ECD00A5A1}"/>
    <cellStyle name="Normal 4 3" xfId="13" xr:uid="{B559C805-8245-4174-924C-BDA50BB0DF96}"/>
    <cellStyle name="Normal 4 4" xfId="21" xr:uid="{92CF0ADB-DE67-42E1-875E-9C04C12F1B2C}"/>
  </cellStyles>
  <dxfs count="12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* #,##0_);_(* \(#,##0\);_(* &quot;-&quot;??_);_(@_)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none">
          <fgColor theme="4" tint="0.59999389629810485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_(* #.##0_);_(* \(#.##0\);_(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_(* #.##0_);_(* \(#.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6" formatCode="_(* #.##0_);_(* \(#.##0\);_(* &quot;-&quot;??_);_(@_)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(* #.##0_);_(* \(#.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* #,##0_);_(* \(#,##0\);_(* &quot;-&quot;??_);_(@_)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_(* #.##0_);_(* \(#.##0\);_(* &quot;-&quot;??_);_(@_)"/>
      <fill>
        <patternFill patternType="none">
          <bgColor auto="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_(* #.##0_);_(* \(#.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/>
      <protection locked="0" hidden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-* #,##0_-;\-* #,##0_-;_-* &quot;-&quot;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fill>
        <patternFill patternType="none"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_(* #.##0_);_(* \(#.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* #,##0_);_(* \(#,##0\);_(* &quot;-&quot;??_);_(@_)"/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scheme val="none"/>
      </font>
      <numFmt numFmtId="164" formatCode="_(* #,##0_);_(* \(#,##0\);_(* &quot;-&quot;??_);_(@_)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auto="1"/>
        <name val="Arial"/>
        <scheme val="none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relative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none"/>
      </fill>
      <alignment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relative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none"/>
      </fill>
      <alignment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* #,##0_);_(* \(#,##0\);_(* &quot;-&quot;??_);_(@_)"/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relative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relative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>
        <top style="thin">
          <color auto="1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_(* #.##0_);_(* \(#.##0\);_(* &quot;-&quot;??_);_(@_)"/>
      <fill>
        <patternFill patternType="none"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_(* #.##0_);_(* \(#.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cuments\Yellow%20THN%202025\Yellow%20Carwash%20PIK2\CUBE%20PIK\04%20-%20CUBE%20PIK%202%20Mei%202026%20New.xlsx" TargetMode="External"/><Relationship Id="rId1" Type="http://schemas.openxmlformats.org/officeDocument/2006/relationships/externalLinkPath" Target="/Users/asus/Documents/Yellow%20THN%202025/Yellow%20Carwash%20PIK2/CUBE%20PIK/04%20-%20CUBE%20PIK%202%20Mei%202026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Stock"/>
      <sheetName val="Pembelian"/>
      <sheetName val="Master"/>
      <sheetName val="Sales"/>
      <sheetName val="Sheet1"/>
    </sheetNames>
    <sheetDataSet>
      <sheetData sheetId="0"/>
      <sheetData sheetId="1">
        <row r="104">
          <cell r="G104">
            <v>27313045.649799999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3830A7-AEFA-4435-AC24-C2284FD2B60C}" name="Table14" displayName="Table14" ref="A1:E525" totalsRowCount="1" headerRowDxfId="1288" dataDxfId="1286" totalsRowDxfId="1284" headerRowBorderDxfId="1287" tableBorderDxfId="1285" totalsRowBorderDxfId="1283" headerRowCellStyle="Comma" dataCellStyle="Comma">
  <autoFilter ref="A1:E524" xr:uid="{00000000-0009-0000-0100-000001000000}"/>
  <sortState xmlns:xlrd2="http://schemas.microsoft.com/office/spreadsheetml/2017/richdata2" ref="A2:E524">
    <sortCondition ref="C1:C524"/>
  </sortState>
  <tableColumns count="5">
    <tableColumn id="1" xr3:uid="{4D28B039-9E40-4A97-A121-CB28366B8BD4}" name="KATEGORI" dataDxfId="1282" totalsRowDxfId="1281"/>
    <tableColumn id="15" xr3:uid="{8F7FC2EC-8D70-4A25-B007-23E321C9FB0A}" name="TYPE" dataDxfId="1280" totalsRowDxfId="1279"/>
    <tableColumn id="2" xr3:uid="{944C47A7-4C5A-4CFF-88AF-44FE70574A4B}" name="ITEM CODE" dataDxfId="1278" totalsRowDxfId="1277" dataCellStyle="Normal 18"/>
    <tableColumn id="3" xr3:uid="{9136D2EC-4EEF-49CD-8405-6AE0AB696E85}" name="ITEM NAME" dataDxfId="1276" totalsRowDxfId="1275" dataCellStyle="Normal 4"/>
    <tableColumn id="12" xr3:uid="{16BEA4FD-2629-456D-865F-7D78B6714287}" name="STOK OPNAME" totalsRowFunction="sum" dataDxfId="1274" totalsRowDxfId="1273" dataCellStyle="Comm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154D65-8F27-437B-A767-5E887954078C}" name="Table13" displayName="Table13" ref="G2:K475" totalsRowCount="1" headerRowBorderDxfId="1272" tableBorderDxfId="1271" totalsRowBorderDxfId="1270">
  <autoFilter ref="G2:K474" xr:uid="{00000000-0009-0000-0100-000002000000}"/>
  <tableColumns count="5">
    <tableColumn id="1" xr3:uid="{3C869986-37DD-401B-9C78-05A2BA9145DC}" name="KATEGORI" totalsRowLabel="Total" dataDxfId="1269" totalsRowDxfId="1268">
      <calculatedColumnFormula>Table18[[#This Row],[KATEGORI]]</calculatedColumnFormula>
    </tableColumn>
    <tableColumn id="15" xr3:uid="{F246C561-F669-46DE-9EB9-E7EC0EBA6F69}" name="TYPE" dataDxfId="1267" totalsRowDxfId="1266">
      <calculatedColumnFormula>Table18[[#This Row],[TYPE]]</calculatedColumnFormula>
    </tableColumn>
    <tableColumn id="2" xr3:uid="{4AC0B60C-F923-462B-8082-CE202497D4BC}" name="ITEM CODE" dataDxfId="1265" totalsRowDxfId="1264">
      <calculatedColumnFormula>Table18[[#This Row],[ITEM CODE]]</calculatedColumnFormula>
    </tableColumn>
    <tableColumn id="3" xr3:uid="{33964AC9-1479-42D3-9900-AC5DE310C867}" name="ITEM NAME" dataDxfId="1263" totalsRowDxfId="1262">
      <calculatedColumnFormula>#REF!</calculatedColumnFormula>
    </tableColumn>
    <tableColumn id="12" xr3:uid="{4DE3BDFE-41DD-415E-880B-D3BFF5734504}" name="STOK OPNAME" totalsRowFunction="sum" dataDxfId="1261" totalsRowDxfId="1260" dataCellStyle="Comm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13D901-F16B-46F5-9FD6-255873E4488C}" name="Table18" displayName="Table18" ref="A2:E475" totalsRowCount="1">
  <autoFilter ref="A2:E474" xr:uid="{00000000-0009-0000-0100-000001000000}"/>
  <tableColumns count="5">
    <tableColumn id="1" xr3:uid="{5DDD1B03-0036-43EE-B44A-8254F2E8B390}" name="KATEGORI" totalsRowLabel="Total" dataDxfId="1259" totalsRowDxfId="1258"/>
    <tableColumn id="15" xr3:uid="{2AA1C8ED-9389-4864-9FFE-0209AE93855C}" name="TYPE" dataDxfId="1257" totalsRowDxfId="1256"/>
    <tableColumn id="2" xr3:uid="{B802BDD4-D336-449F-B3C4-F213016049E3}" name="ITEM CODE" dataDxfId="1255" totalsRowDxfId="1254"/>
    <tableColumn id="3" xr3:uid="{B5B6A686-1C7F-4F78-8ECB-D58390651EBD}" name="ITEM NAME" dataDxfId="1253" totalsRowDxfId="1252"/>
    <tableColumn id="12" xr3:uid="{8D0C0A76-D98A-45C5-8AF8-A5EAF38537BB}" name="STOK OPNAME" totalsRowFunction="sum" dataDxfId="1251" totalsRowDxfId="125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6BD074-2587-434A-AC22-0FC2A6816D1D}" name="Table15" displayName="Table15" ref="A1:F353" totalsRowCount="1" headerRowDxfId="1249" dataDxfId="1247" totalsRowDxfId="1245" headerRowBorderDxfId="1248" tableBorderDxfId="1246" totalsRowBorderDxfId="1244" headerRowCellStyle="Comma" dataCellStyle="Comma">
  <autoFilter ref="A1:F352" xr:uid="{00000000-0009-0000-0100-000001000000}"/>
  <sortState xmlns:xlrd2="http://schemas.microsoft.com/office/spreadsheetml/2017/richdata2" ref="A2:F559">
    <sortCondition ref="C1:C559"/>
  </sortState>
  <tableColumns count="6">
    <tableColumn id="1" xr3:uid="{82D56ABA-6037-4A6B-BD00-35B7C84750C9}" name="KATEGORI" dataDxfId="1243" totalsRowDxfId="1242"/>
    <tableColumn id="15" xr3:uid="{537FB733-2F27-4B93-A817-0054310594F0}" name="TYPE" dataDxfId="1241" totalsRowDxfId="1240"/>
    <tableColumn id="2" xr3:uid="{75481DC7-4E42-4728-9D3D-1E8126D2650D}" name="ITEM CODE" dataDxfId="1239" totalsRowDxfId="1238"/>
    <tableColumn id="3" xr3:uid="{87D4DC46-2B53-4A56-84B9-B5FCFF42E0ED}" name="ITEM NAME" dataDxfId="1237" totalsRowDxfId="1236" dataCellStyle="Normal 4"/>
    <tableColumn id="4" xr3:uid="{296E4D92-76B7-43EC-A7E6-EEA394901F37}" name="BARCODE" dataDxfId="1235" totalsRowDxfId="1234"/>
    <tableColumn id="11" xr3:uid="{AD521D3C-65CD-4669-BF22-EF323BB2F5F5}" name="STOK AKHIR" dataDxfId="1233" totalsRowDxfId="123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DCE867-2C4A-49C5-80CB-DB65C7C1BB28}" name="Table17" displayName="Table17" ref="A1:E414" totalsRowCount="1" headerRowDxfId="15" dataDxfId="14" totalsRowDxfId="13" headerRowBorderDxfId="11" tableBorderDxfId="12" totalsRowBorderDxfId="10" headerRowCellStyle="Comma" dataCellStyle="Comma">
  <autoFilter ref="A1:E413" xr:uid="{00000000-0009-0000-0100-000001000000}"/>
  <sortState xmlns:xlrd2="http://schemas.microsoft.com/office/spreadsheetml/2017/richdata2" ref="A2:E413">
    <sortCondition ref="C1:C413"/>
  </sortState>
  <tableColumns count="5">
    <tableColumn id="1" xr3:uid="{81D758E6-9202-44C3-9727-C2C33C592319}" name="KATEGORI" dataDxfId="8" totalsRowDxfId="9"/>
    <tableColumn id="15" xr3:uid="{451C6F52-402C-4E16-9DD4-C6C5B2F1A7E1}" name="TYPE" dataDxfId="6" totalsRowDxfId="7"/>
    <tableColumn id="2" xr3:uid="{F1D488A9-FB00-47F1-A22E-8CBB98FF9B93}" name="ITEM CODE" dataDxfId="4" totalsRowDxfId="5" dataCellStyle="Comma 76"/>
    <tableColumn id="3" xr3:uid="{BBEBB42F-259C-4C9E-A89C-1F8BD972BEF0}" name="ITEM NAME" dataDxfId="2" totalsRowDxfId="3" dataCellStyle="Normal 4"/>
    <tableColumn id="12" xr3:uid="{16608995-AC02-4E16-8659-A63F0FB53265}" name="STOK OPNAME" totalsRowFunction="custom" dataDxfId="0" totalsRowDxfId="1" dataCellStyle="Comma">
      <totalsRowFormula>SUM(Table17[STOK OPNAME])</totalsRow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4D0232-4F76-41C5-8DAD-FBFA4083ECA7}" name="Table157" displayName="Table157" ref="A1:E457" totalsRowCount="1" headerRowDxfId="1231" dataDxfId="1229" totalsRowDxfId="1227" headerRowBorderDxfId="1230" tableBorderDxfId="1228" totalsRowBorderDxfId="1226" headerRowCellStyle="Comma" dataCellStyle="Comma">
  <autoFilter ref="A1:E456" xr:uid="{00000000-0009-0000-0100-000006000000}"/>
  <sortState xmlns:xlrd2="http://schemas.microsoft.com/office/spreadsheetml/2017/richdata2" ref="A2:E439">
    <sortCondition ref="D1:D452"/>
  </sortState>
  <tableColumns count="5">
    <tableColumn id="1" xr3:uid="{7479556F-D39D-4689-8A9E-8ACCB8FCD7CD}" name="KATEGORI" dataDxfId="1225" totalsRowDxfId="1224"/>
    <tableColumn id="15" xr3:uid="{B0541C04-CB00-4B3E-B26D-79CC30C237A8}" name="TYPE" dataDxfId="1223" totalsRowDxfId="1222"/>
    <tableColumn id="2" xr3:uid="{CF308FF3-3E23-465A-8143-E7032FC9F5E4}" name="ITEM CODE" dataDxfId="1221" totalsRowDxfId="1220" dataCellStyle="Comma" totalsRowCellStyle="Comma"/>
    <tableColumn id="3" xr3:uid="{87261DF7-38A4-4FA5-8987-5699E71F41F4}" name="ITEM NAME" dataDxfId="1219" totalsRowDxfId="1218" dataCellStyle="Normal 4"/>
    <tableColumn id="7" xr3:uid="{E9CB6E17-C03A-447D-91BF-FD316F28236D}" name="STOK AKHIR" totalsRowFunction="custom" dataDxfId="1217" totalsRowDxfId="1216" dataCellStyle="Comma">
      <totalsRowFormula>SUM(Table157[STOK AKHIR])</totalsRow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ED2DC-EA53-4CB8-82D2-4EB650F85EF8}" name="Table1" displayName="Table1" ref="A1:F227" totalsRowCount="1" headerRowDxfId="1215" dataDxfId="1213" totalsRowDxfId="1211" headerRowBorderDxfId="1214" tableBorderDxfId="1212" totalsRowBorderDxfId="1210" headerRowCellStyle="Comma" dataCellStyle="Comma">
  <autoFilter ref="A1:F226" xr:uid="{00000000-0009-0000-0100-000001000000}"/>
  <sortState xmlns:xlrd2="http://schemas.microsoft.com/office/spreadsheetml/2017/richdata2" ref="A2:F520">
    <sortCondition ref="C1:C520"/>
  </sortState>
  <tableColumns count="6">
    <tableColumn id="1" xr3:uid="{14652023-2E2A-4AEE-B1BC-8B557D395752}" name="KATEGORI" totalsRowLabel="Total" dataDxfId="1209" totalsRowDxfId="1208"/>
    <tableColumn id="15" xr3:uid="{3066647A-CA8A-45B1-9DC3-EDED51FD391A}" name="TYPE" dataDxfId="1207" totalsRowDxfId="1206"/>
    <tableColumn id="2" xr3:uid="{3A3ECE3C-E306-4AF0-8DD5-C65C1820D96C}" name="ITEM CODE" dataDxfId="1205" totalsRowDxfId="1204"/>
    <tableColumn id="3" xr3:uid="{32C633F8-F94E-4FAE-8473-D26C5E772A51}" name="ITEM NAME" dataDxfId="1203" totalsRowDxfId="1202" dataCellStyle="Normal 4"/>
    <tableColumn id="4" xr3:uid="{A87AF900-1CF2-4E8B-AD4C-4F4A9536E5BB}" name="BARCODE" dataDxfId="1201" totalsRowDxfId="1200"/>
    <tableColumn id="11" xr3:uid="{DFD65D58-C826-4542-BF12-F902E20DA32C}" name="STOK AKHIR" totalsRowFunction="sum" dataDxfId="1199" totalsRowDxfId="1198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379D-61F5-4B9C-94BB-21D69155594B}">
  <sheetPr>
    <outlinePr summaryBelow="0" summaryRight="0"/>
  </sheetPr>
  <dimension ref="A1:F193"/>
  <sheetViews>
    <sheetView zoomScale="70" zoomScaleNormal="70" workbookViewId="0">
      <pane xSplit="3" ySplit="4" topLeftCell="D65" activePane="bottomRight" state="frozen"/>
      <selection pane="topRight" activeCell="D1" sqref="D1"/>
      <selection pane="bottomLeft" activeCell="A5" sqref="A5"/>
      <selection pane="bottomRight" activeCell="H190" sqref="H190"/>
    </sheetView>
  </sheetViews>
  <sheetFormatPr defaultColWidth="14.453125" defaultRowHeight="15" customHeight="1"/>
  <cols>
    <col min="1" max="1" width="0.453125" style="206" customWidth="1"/>
    <col min="2" max="2" width="8.453125" style="206" customWidth="1"/>
    <col min="3" max="3" width="44.81640625" style="206" customWidth="1"/>
    <col min="4" max="4" width="8.26953125" style="206" customWidth="1"/>
    <col min="5" max="5" width="7.453125" style="206" customWidth="1"/>
    <col min="6" max="6" width="7.26953125" style="206" customWidth="1"/>
    <col min="7" max="16384" width="14.453125" style="206"/>
  </cols>
  <sheetData>
    <row r="1" spans="1:6" ht="14.5">
      <c r="A1" s="255" t="s">
        <v>984</v>
      </c>
      <c r="B1" s="255"/>
      <c r="C1" s="256"/>
      <c r="D1" s="289"/>
      <c r="E1" s="290"/>
      <c r="F1" s="256"/>
    </row>
    <row r="2" spans="1:6" thickBot="1">
      <c r="A2" s="255"/>
      <c r="B2" s="255" t="s">
        <v>985</v>
      </c>
      <c r="C2" s="257"/>
      <c r="D2" s="290"/>
      <c r="E2" s="290"/>
      <c r="F2" s="256"/>
    </row>
    <row r="3" spans="1:6" thickTop="1">
      <c r="A3" s="258"/>
      <c r="B3" s="291" t="s">
        <v>986</v>
      </c>
      <c r="C3" s="291" t="s">
        <v>987</v>
      </c>
      <c r="D3" s="293" t="s">
        <v>861</v>
      </c>
      <c r="E3" s="294" t="s">
        <v>862</v>
      </c>
      <c r="F3" s="295" t="s">
        <v>988</v>
      </c>
    </row>
    <row r="4" spans="1:6" thickBot="1">
      <c r="A4" s="258"/>
      <c r="B4" s="292"/>
      <c r="C4" s="292"/>
      <c r="D4" s="292"/>
      <c r="E4" s="292"/>
      <c r="F4" s="296"/>
    </row>
    <row r="5" spans="1:6" thickTop="1">
      <c r="A5" s="259"/>
      <c r="B5" s="260">
        <f t="shared" ref="B5:B134" si="0">ROW()-4</f>
        <v>1</v>
      </c>
      <c r="C5" s="261" t="s">
        <v>989</v>
      </c>
      <c r="D5" s="262">
        <v>7</v>
      </c>
      <c r="E5" s="263">
        <v>2</v>
      </c>
      <c r="F5" s="262">
        <v>6</v>
      </c>
    </row>
    <row r="6" spans="1:6" ht="14.5">
      <c r="A6" s="259"/>
      <c r="B6" s="260">
        <f t="shared" si="0"/>
        <v>2</v>
      </c>
      <c r="C6" s="261" t="s">
        <v>990</v>
      </c>
      <c r="D6" s="264">
        <v>3</v>
      </c>
      <c r="E6" s="263">
        <v>8</v>
      </c>
      <c r="F6" s="262">
        <v>5</v>
      </c>
    </row>
    <row r="7" spans="1:6" ht="14.5">
      <c r="A7" s="259"/>
      <c r="B7" s="260">
        <f t="shared" si="0"/>
        <v>3</v>
      </c>
      <c r="C7" s="261" t="s">
        <v>991</v>
      </c>
      <c r="D7" s="262">
        <v>4</v>
      </c>
      <c r="E7" s="263">
        <v>7</v>
      </c>
      <c r="F7" s="262">
        <v>9</v>
      </c>
    </row>
    <row r="8" spans="1:6" ht="14.5">
      <c r="A8" s="259"/>
      <c r="B8" s="260">
        <f t="shared" si="0"/>
        <v>4</v>
      </c>
      <c r="C8" s="261" t="s">
        <v>992</v>
      </c>
      <c r="D8" s="262">
        <v>9</v>
      </c>
      <c r="E8" s="265"/>
      <c r="F8" s="262">
        <v>9</v>
      </c>
    </row>
    <row r="9" spans="1:6" ht="14.5">
      <c r="A9" s="259"/>
      <c r="B9" s="260">
        <f t="shared" si="0"/>
        <v>5</v>
      </c>
      <c r="C9" s="261" t="s">
        <v>993</v>
      </c>
      <c r="D9" s="262">
        <v>3</v>
      </c>
      <c r="E9" s="263">
        <v>10</v>
      </c>
      <c r="F9" s="262">
        <v>9</v>
      </c>
    </row>
    <row r="10" spans="1:6" ht="14.5">
      <c r="A10" s="259"/>
      <c r="B10" s="260">
        <f t="shared" si="0"/>
        <v>6</v>
      </c>
      <c r="C10" s="261" t="s">
        <v>994</v>
      </c>
      <c r="D10" s="262">
        <v>6</v>
      </c>
      <c r="E10" s="263">
        <v>3</v>
      </c>
      <c r="F10" s="262">
        <v>4</v>
      </c>
    </row>
    <row r="11" spans="1:6" ht="14.5">
      <c r="A11" s="259"/>
      <c r="B11" s="260">
        <f t="shared" si="0"/>
        <v>7</v>
      </c>
      <c r="C11" s="261" t="s">
        <v>995</v>
      </c>
      <c r="D11" s="262">
        <v>1</v>
      </c>
      <c r="E11" s="263">
        <v>10</v>
      </c>
      <c r="F11" s="262">
        <v>9</v>
      </c>
    </row>
    <row r="12" spans="1:6" ht="14.5">
      <c r="A12" s="259"/>
      <c r="B12" s="260">
        <f t="shared" si="0"/>
        <v>8</v>
      </c>
      <c r="C12" s="261" t="s">
        <v>863</v>
      </c>
      <c r="D12" s="262">
        <v>6</v>
      </c>
      <c r="E12" s="265"/>
      <c r="F12" s="262">
        <v>6</v>
      </c>
    </row>
    <row r="13" spans="1:6" ht="14.5">
      <c r="A13" s="259"/>
      <c r="B13" s="260">
        <f t="shared" si="0"/>
        <v>9</v>
      </c>
      <c r="C13" s="261" t="s">
        <v>864</v>
      </c>
      <c r="D13" s="264">
        <v>6</v>
      </c>
      <c r="E13" s="265"/>
      <c r="F13" s="262">
        <v>6</v>
      </c>
    </row>
    <row r="14" spans="1:6" ht="14.5">
      <c r="A14" s="259"/>
      <c r="B14" s="260">
        <f t="shared" si="0"/>
        <v>10</v>
      </c>
      <c r="C14" s="261" t="s">
        <v>865</v>
      </c>
      <c r="D14" s="262">
        <v>1</v>
      </c>
      <c r="E14" s="265"/>
      <c r="F14" s="262">
        <v>1</v>
      </c>
    </row>
    <row r="15" spans="1:6" ht="14.5">
      <c r="A15" s="259"/>
      <c r="B15" s="260">
        <f t="shared" si="0"/>
        <v>11</v>
      </c>
      <c r="C15" s="261" t="s">
        <v>866</v>
      </c>
      <c r="D15" s="264">
        <v>2</v>
      </c>
      <c r="E15" s="265"/>
      <c r="F15" s="262">
        <v>0</v>
      </c>
    </row>
    <row r="16" spans="1:6" ht="14.5">
      <c r="A16" s="259"/>
      <c r="B16" s="260">
        <f t="shared" si="0"/>
        <v>12</v>
      </c>
      <c r="C16" s="261" t="s">
        <v>867</v>
      </c>
      <c r="D16" s="262">
        <v>3</v>
      </c>
      <c r="E16" s="265"/>
      <c r="F16" s="262">
        <v>3</v>
      </c>
    </row>
    <row r="17" spans="1:6" ht="14.5">
      <c r="A17" s="259"/>
      <c r="B17" s="260">
        <f t="shared" si="0"/>
        <v>13</v>
      </c>
      <c r="C17" s="261" t="s">
        <v>868</v>
      </c>
      <c r="D17" s="262">
        <v>6</v>
      </c>
      <c r="E17" s="265"/>
      <c r="F17" s="262">
        <v>6</v>
      </c>
    </row>
    <row r="18" spans="1:6" ht="14.5">
      <c r="A18" s="259"/>
      <c r="B18" s="260">
        <f t="shared" si="0"/>
        <v>14</v>
      </c>
      <c r="C18" s="261" t="s">
        <v>869</v>
      </c>
      <c r="D18" s="262">
        <v>6</v>
      </c>
      <c r="E18" s="265"/>
      <c r="F18" s="262">
        <v>6</v>
      </c>
    </row>
    <row r="19" spans="1:6" ht="14.5">
      <c r="A19" s="259"/>
      <c r="B19" s="260">
        <f t="shared" si="0"/>
        <v>15</v>
      </c>
      <c r="C19" s="261" t="s">
        <v>870</v>
      </c>
      <c r="D19" s="262">
        <v>3</v>
      </c>
      <c r="E19" s="265"/>
      <c r="F19" s="262">
        <v>3</v>
      </c>
    </row>
    <row r="20" spans="1:6" ht="14.5">
      <c r="A20" s="259"/>
      <c r="B20" s="260">
        <f t="shared" si="0"/>
        <v>16</v>
      </c>
      <c r="C20" s="261" t="s">
        <v>871</v>
      </c>
      <c r="D20" s="264">
        <v>4</v>
      </c>
      <c r="E20" s="265"/>
      <c r="F20" s="262">
        <v>4</v>
      </c>
    </row>
    <row r="21" spans="1:6" ht="14.5">
      <c r="A21" s="259"/>
      <c r="B21" s="260">
        <f t="shared" si="0"/>
        <v>17</v>
      </c>
      <c r="C21" s="261" t="s">
        <v>872</v>
      </c>
      <c r="D21" s="262">
        <v>3</v>
      </c>
      <c r="E21" s="265"/>
      <c r="F21" s="262">
        <v>3</v>
      </c>
    </row>
    <row r="22" spans="1:6" ht="14.5">
      <c r="A22" s="259"/>
      <c r="B22" s="260">
        <f t="shared" si="0"/>
        <v>18</v>
      </c>
      <c r="C22" s="261" t="s">
        <v>873</v>
      </c>
      <c r="D22" s="262">
        <v>4</v>
      </c>
      <c r="E22" s="265"/>
      <c r="F22" s="262">
        <v>3</v>
      </c>
    </row>
    <row r="23" spans="1:6" ht="14.5">
      <c r="A23" s="259"/>
      <c r="B23" s="260">
        <f t="shared" si="0"/>
        <v>19</v>
      </c>
      <c r="C23" s="261" t="s">
        <v>874</v>
      </c>
      <c r="D23" s="262">
        <v>5</v>
      </c>
      <c r="E23" s="265"/>
      <c r="F23" s="262">
        <v>4</v>
      </c>
    </row>
    <row r="24" spans="1:6" ht="14.5">
      <c r="A24" s="259"/>
      <c r="B24" s="260">
        <f t="shared" si="0"/>
        <v>20</v>
      </c>
      <c r="C24" s="261" t="s">
        <v>875</v>
      </c>
      <c r="D24" s="264"/>
      <c r="E24" s="265"/>
      <c r="F24" s="262">
        <v>0</v>
      </c>
    </row>
    <row r="25" spans="1:6" ht="14.5">
      <c r="A25" s="259"/>
      <c r="B25" s="260">
        <f t="shared" si="0"/>
        <v>21</v>
      </c>
      <c r="C25" s="261" t="s">
        <v>876</v>
      </c>
      <c r="D25" s="264"/>
      <c r="E25" s="265"/>
      <c r="F25" s="262">
        <v>0</v>
      </c>
    </row>
    <row r="26" spans="1:6" ht="14.5">
      <c r="A26" s="259"/>
      <c r="B26" s="260">
        <f t="shared" si="0"/>
        <v>22</v>
      </c>
      <c r="C26" s="261" t="s">
        <v>877</v>
      </c>
      <c r="D26" s="264">
        <v>3</v>
      </c>
      <c r="E26" s="265"/>
      <c r="F26" s="262">
        <v>0</v>
      </c>
    </row>
    <row r="27" spans="1:6" ht="14.5">
      <c r="A27" s="259"/>
      <c r="B27" s="260">
        <f t="shared" si="0"/>
        <v>23</v>
      </c>
      <c r="C27" s="261" t="s">
        <v>878</v>
      </c>
      <c r="D27" s="262">
        <v>4</v>
      </c>
      <c r="E27" s="265"/>
      <c r="F27" s="262">
        <v>0</v>
      </c>
    </row>
    <row r="28" spans="1:6" ht="14.5">
      <c r="A28" s="259"/>
      <c r="B28" s="260">
        <f t="shared" si="0"/>
        <v>24</v>
      </c>
      <c r="C28" s="261" t="s">
        <v>879</v>
      </c>
      <c r="D28" s="264">
        <v>5</v>
      </c>
      <c r="E28" s="265"/>
      <c r="F28" s="262">
        <v>1</v>
      </c>
    </row>
    <row r="29" spans="1:6" ht="14.5">
      <c r="A29" s="259"/>
      <c r="B29" s="260">
        <f t="shared" si="0"/>
        <v>25</v>
      </c>
      <c r="C29" s="261" t="s">
        <v>883</v>
      </c>
      <c r="D29" s="262">
        <v>5</v>
      </c>
      <c r="E29" s="265"/>
      <c r="F29" s="262">
        <v>5</v>
      </c>
    </row>
    <row r="30" spans="1:6" ht="14.5">
      <c r="A30" s="259"/>
      <c r="B30" s="260">
        <f t="shared" si="0"/>
        <v>26</v>
      </c>
      <c r="C30" s="261" t="s">
        <v>880</v>
      </c>
      <c r="D30" s="262">
        <v>4</v>
      </c>
      <c r="E30" s="265"/>
      <c r="F30" s="262">
        <v>2</v>
      </c>
    </row>
    <row r="31" spans="1:6" ht="14.5">
      <c r="A31" s="259"/>
      <c r="B31" s="260">
        <f t="shared" si="0"/>
        <v>27</v>
      </c>
      <c r="C31" s="261" t="s">
        <v>881</v>
      </c>
      <c r="D31" s="262">
        <v>4</v>
      </c>
      <c r="E31" s="263"/>
      <c r="F31" s="262">
        <v>4</v>
      </c>
    </row>
    <row r="32" spans="1:6" ht="14.5">
      <c r="A32" s="259"/>
      <c r="B32" s="260">
        <f t="shared" si="0"/>
        <v>28</v>
      </c>
      <c r="C32" s="261" t="s">
        <v>882</v>
      </c>
      <c r="D32" s="262">
        <v>4</v>
      </c>
      <c r="E32" s="263"/>
      <c r="F32" s="262">
        <v>1</v>
      </c>
    </row>
    <row r="33" spans="1:6" ht="14.5">
      <c r="A33" s="259"/>
      <c r="B33" s="260">
        <f t="shared" si="0"/>
        <v>29</v>
      </c>
      <c r="C33" s="261" t="s">
        <v>884</v>
      </c>
      <c r="D33" s="264"/>
      <c r="E33" s="265"/>
      <c r="F33" s="262">
        <v>0</v>
      </c>
    </row>
    <row r="34" spans="1:6" ht="14.5">
      <c r="A34" s="259"/>
      <c r="B34" s="260">
        <f t="shared" si="0"/>
        <v>30</v>
      </c>
      <c r="C34" s="261" t="s">
        <v>885</v>
      </c>
      <c r="D34" s="264"/>
      <c r="E34" s="265"/>
      <c r="F34" s="262">
        <v>0</v>
      </c>
    </row>
    <row r="35" spans="1:6" ht="14.5">
      <c r="A35" s="259"/>
      <c r="B35" s="260">
        <f t="shared" si="0"/>
        <v>31</v>
      </c>
      <c r="C35" s="261" t="s">
        <v>886</v>
      </c>
      <c r="D35" s="264"/>
      <c r="E35" s="265"/>
      <c r="F35" s="262">
        <v>0</v>
      </c>
    </row>
    <row r="36" spans="1:6" ht="14.5">
      <c r="A36" s="259"/>
      <c r="B36" s="260">
        <f t="shared" si="0"/>
        <v>32</v>
      </c>
      <c r="C36" s="261" t="s">
        <v>887</v>
      </c>
      <c r="D36" s="264"/>
      <c r="E36" s="265"/>
      <c r="F36" s="262">
        <v>0</v>
      </c>
    </row>
    <row r="37" spans="1:6" ht="14.5">
      <c r="A37" s="259"/>
      <c r="B37" s="260">
        <f t="shared" si="0"/>
        <v>33</v>
      </c>
      <c r="C37" s="261" t="s">
        <v>888</v>
      </c>
      <c r="D37" s="264"/>
      <c r="E37" s="265"/>
      <c r="F37" s="262">
        <v>0</v>
      </c>
    </row>
    <row r="38" spans="1:6" ht="14.5">
      <c r="A38" s="259" t="s">
        <v>996</v>
      </c>
      <c r="B38" s="260">
        <f t="shared" si="0"/>
        <v>34</v>
      </c>
      <c r="C38" s="261" t="s">
        <v>892</v>
      </c>
      <c r="D38" s="262">
        <v>45</v>
      </c>
      <c r="E38" s="263"/>
      <c r="F38" s="262">
        <v>2</v>
      </c>
    </row>
    <row r="39" spans="1:6" ht="14.5">
      <c r="A39" s="259"/>
      <c r="B39" s="260">
        <f t="shared" si="0"/>
        <v>35</v>
      </c>
      <c r="C39" s="261" t="s">
        <v>891</v>
      </c>
      <c r="D39" s="262">
        <v>18</v>
      </c>
      <c r="E39" s="263"/>
      <c r="F39" s="262">
        <v>1</v>
      </c>
    </row>
    <row r="40" spans="1:6" ht="14.5">
      <c r="A40" s="259"/>
      <c r="B40" s="260">
        <f t="shared" si="0"/>
        <v>36</v>
      </c>
      <c r="C40" s="261" t="s">
        <v>893</v>
      </c>
      <c r="D40" s="264">
        <v>25</v>
      </c>
      <c r="E40" s="263"/>
      <c r="F40" s="262">
        <v>3</v>
      </c>
    </row>
    <row r="41" spans="1:6" ht="14.5">
      <c r="A41" s="259"/>
      <c r="B41" s="260">
        <f t="shared" si="0"/>
        <v>37</v>
      </c>
      <c r="C41" s="261" t="s">
        <v>894</v>
      </c>
      <c r="D41" s="262">
        <v>53</v>
      </c>
      <c r="E41" s="265"/>
      <c r="F41" s="262">
        <v>41</v>
      </c>
    </row>
    <row r="42" spans="1:6" ht="14.5">
      <c r="A42" s="259"/>
      <c r="B42" s="260">
        <f t="shared" si="0"/>
        <v>38</v>
      </c>
      <c r="C42" s="261" t="s">
        <v>895</v>
      </c>
      <c r="D42" s="262">
        <v>46</v>
      </c>
      <c r="E42" s="263"/>
      <c r="F42" s="262">
        <v>30</v>
      </c>
    </row>
    <row r="43" spans="1:6" ht="14.5">
      <c r="A43" s="259"/>
      <c r="B43" s="260">
        <f t="shared" si="0"/>
        <v>39</v>
      </c>
      <c r="C43" s="261" t="s">
        <v>896</v>
      </c>
      <c r="D43" s="262">
        <v>13</v>
      </c>
      <c r="E43" s="263"/>
      <c r="F43" s="262">
        <v>3</v>
      </c>
    </row>
    <row r="44" spans="1:6" ht="14.5">
      <c r="A44" s="259"/>
      <c r="B44" s="260">
        <f t="shared" si="0"/>
        <v>40</v>
      </c>
      <c r="C44" s="261" t="s">
        <v>897</v>
      </c>
      <c r="D44" s="262">
        <v>30</v>
      </c>
      <c r="E44" s="263"/>
      <c r="F44" s="262">
        <v>18</v>
      </c>
    </row>
    <row r="45" spans="1:6" ht="14.5">
      <c r="A45" s="259"/>
      <c r="B45" s="260">
        <f t="shared" si="0"/>
        <v>41</v>
      </c>
      <c r="C45" s="261" t="s">
        <v>898</v>
      </c>
      <c r="D45" s="262">
        <v>27</v>
      </c>
      <c r="E45" s="263"/>
      <c r="F45" s="262">
        <v>7</v>
      </c>
    </row>
    <row r="46" spans="1:6" ht="14.5">
      <c r="A46" s="259"/>
      <c r="B46" s="260">
        <f t="shared" si="0"/>
        <v>42</v>
      </c>
      <c r="C46" s="261" t="s">
        <v>899</v>
      </c>
      <c r="D46" s="262">
        <v>25</v>
      </c>
      <c r="E46" s="263"/>
      <c r="F46" s="262">
        <v>0</v>
      </c>
    </row>
    <row r="47" spans="1:6" ht="14.5">
      <c r="A47" s="259"/>
      <c r="B47" s="260">
        <f t="shared" si="0"/>
        <v>43</v>
      </c>
      <c r="C47" s="261" t="s">
        <v>997</v>
      </c>
      <c r="D47" s="262"/>
      <c r="E47" s="263"/>
      <c r="F47" s="262">
        <v>0</v>
      </c>
    </row>
    <row r="48" spans="1:6" ht="14.5">
      <c r="A48" s="259"/>
      <c r="B48" s="260">
        <f t="shared" si="0"/>
        <v>44</v>
      </c>
      <c r="C48" s="261" t="s">
        <v>902</v>
      </c>
      <c r="D48" s="264"/>
      <c r="E48" s="263"/>
      <c r="F48" s="262">
        <v>0</v>
      </c>
    </row>
    <row r="49" spans="1:6" ht="14.5">
      <c r="A49" s="259"/>
      <c r="B49" s="260">
        <f t="shared" si="0"/>
        <v>45</v>
      </c>
      <c r="C49" s="261" t="s">
        <v>998</v>
      </c>
      <c r="D49" s="264">
        <v>12</v>
      </c>
      <c r="E49" s="263"/>
      <c r="F49" s="262">
        <v>0</v>
      </c>
    </row>
    <row r="50" spans="1:6" ht="14.5">
      <c r="A50" s="259"/>
      <c r="B50" s="260">
        <f t="shared" si="0"/>
        <v>46</v>
      </c>
      <c r="C50" s="261" t="s">
        <v>903</v>
      </c>
      <c r="D50" s="264">
        <v>30</v>
      </c>
      <c r="E50" s="263"/>
      <c r="F50" s="262">
        <v>20</v>
      </c>
    </row>
    <row r="51" spans="1:6" ht="14.5">
      <c r="A51" s="259"/>
      <c r="B51" s="260">
        <f t="shared" si="0"/>
        <v>47</v>
      </c>
      <c r="C51" s="261" t="s">
        <v>890</v>
      </c>
      <c r="D51" s="262">
        <v>2</v>
      </c>
      <c r="E51" s="265"/>
      <c r="F51" s="262">
        <v>2</v>
      </c>
    </row>
    <row r="52" spans="1:6" ht="14.5">
      <c r="A52" s="259"/>
      <c r="B52" s="260">
        <f t="shared" si="0"/>
        <v>48</v>
      </c>
      <c r="C52" s="261" t="s">
        <v>889</v>
      </c>
      <c r="D52" s="262"/>
      <c r="E52" s="265"/>
      <c r="F52" s="262">
        <v>0</v>
      </c>
    </row>
    <row r="53" spans="1:6" ht="14.5">
      <c r="A53" s="259"/>
      <c r="B53" s="260">
        <f t="shared" si="0"/>
        <v>49</v>
      </c>
      <c r="C53" s="261" t="s">
        <v>999</v>
      </c>
      <c r="D53" s="264"/>
      <c r="E53" s="265"/>
      <c r="F53" s="262">
        <v>0</v>
      </c>
    </row>
    <row r="54" spans="1:6" ht="14.5">
      <c r="A54" s="259"/>
      <c r="B54" s="260">
        <f t="shared" si="0"/>
        <v>50</v>
      </c>
      <c r="C54" s="261" t="s">
        <v>437</v>
      </c>
      <c r="D54" s="264"/>
      <c r="E54" s="265"/>
      <c r="F54" s="262">
        <v>0</v>
      </c>
    </row>
    <row r="55" spans="1:6" ht="14.5">
      <c r="A55" s="259"/>
      <c r="B55" s="260">
        <f t="shared" si="0"/>
        <v>51</v>
      </c>
      <c r="C55" s="261" t="s">
        <v>438</v>
      </c>
      <c r="D55" s="262"/>
      <c r="E55" s="265"/>
      <c r="F55" s="262">
        <v>0</v>
      </c>
    </row>
    <row r="56" spans="1:6" ht="14.5">
      <c r="A56" s="259"/>
      <c r="B56" s="260">
        <f t="shared" si="0"/>
        <v>52</v>
      </c>
      <c r="C56" s="261" t="s">
        <v>439</v>
      </c>
      <c r="D56" s="262"/>
      <c r="E56" s="265"/>
      <c r="F56" s="262">
        <v>0</v>
      </c>
    </row>
    <row r="57" spans="1:6" ht="14.5">
      <c r="A57" s="259"/>
      <c r="B57" s="260">
        <f t="shared" si="0"/>
        <v>53</v>
      </c>
      <c r="C57" s="261" t="s">
        <v>440</v>
      </c>
      <c r="D57" s="264"/>
      <c r="E57" s="265"/>
      <c r="F57" s="262">
        <v>0</v>
      </c>
    </row>
    <row r="58" spans="1:6" ht="14.5">
      <c r="A58" s="259"/>
      <c r="B58" s="260">
        <f t="shared" si="0"/>
        <v>54</v>
      </c>
      <c r="C58" s="261" t="s">
        <v>441</v>
      </c>
      <c r="D58" s="264"/>
      <c r="E58" s="265"/>
      <c r="F58" s="262">
        <v>0</v>
      </c>
    </row>
    <row r="59" spans="1:6" ht="14.5">
      <c r="A59" s="259"/>
      <c r="B59" s="260">
        <f t="shared" si="0"/>
        <v>55</v>
      </c>
      <c r="C59" s="261" t="s">
        <v>964</v>
      </c>
      <c r="D59" s="262">
        <v>2</v>
      </c>
      <c r="E59" s="265"/>
      <c r="F59" s="262">
        <v>2</v>
      </c>
    </row>
    <row r="60" spans="1:6" ht="14.5">
      <c r="A60" s="259"/>
      <c r="B60" s="260">
        <f t="shared" si="0"/>
        <v>56</v>
      </c>
      <c r="C60" s="261" t="s">
        <v>1000</v>
      </c>
      <c r="D60" s="262"/>
      <c r="E60" s="265"/>
      <c r="F60" s="262">
        <v>0</v>
      </c>
    </row>
    <row r="61" spans="1:6" ht="14.5">
      <c r="A61" s="259"/>
      <c r="B61" s="260">
        <f t="shared" si="0"/>
        <v>57</v>
      </c>
      <c r="C61" s="261" t="s">
        <v>1001</v>
      </c>
      <c r="D61" s="262"/>
      <c r="E61" s="263"/>
      <c r="F61" s="262">
        <v>0</v>
      </c>
    </row>
    <row r="62" spans="1:6" ht="14.5">
      <c r="A62" s="259"/>
      <c r="B62" s="260">
        <f t="shared" si="0"/>
        <v>58</v>
      </c>
      <c r="C62" s="261" t="s">
        <v>1002</v>
      </c>
      <c r="D62" s="262"/>
      <c r="E62" s="263"/>
      <c r="F62" s="262">
        <v>0</v>
      </c>
    </row>
    <row r="63" spans="1:6" ht="14.5">
      <c r="A63" s="259"/>
      <c r="B63" s="260">
        <f t="shared" si="0"/>
        <v>59</v>
      </c>
      <c r="C63" s="261" t="s">
        <v>1003</v>
      </c>
      <c r="D63" s="262"/>
      <c r="E63" s="263"/>
      <c r="F63" s="262">
        <v>0</v>
      </c>
    </row>
    <row r="64" spans="1:6" ht="14.5">
      <c r="A64" s="259"/>
      <c r="B64" s="260">
        <f t="shared" si="0"/>
        <v>60</v>
      </c>
      <c r="C64" s="261" t="s">
        <v>1004</v>
      </c>
      <c r="D64" s="262"/>
      <c r="E64" s="263"/>
      <c r="F64" s="262">
        <v>0</v>
      </c>
    </row>
    <row r="65" spans="1:6" ht="14.5">
      <c r="A65" s="259"/>
      <c r="B65" s="260">
        <f t="shared" si="0"/>
        <v>61</v>
      </c>
      <c r="C65" s="261" t="s">
        <v>1005</v>
      </c>
      <c r="D65" s="262"/>
      <c r="E65" s="263"/>
      <c r="F65" s="262">
        <v>0</v>
      </c>
    </row>
    <row r="66" spans="1:6" ht="14.5">
      <c r="A66" s="259"/>
      <c r="B66" s="260">
        <f t="shared" si="0"/>
        <v>62</v>
      </c>
      <c r="C66" s="261" t="s">
        <v>1006</v>
      </c>
      <c r="D66" s="262"/>
      <c r="E66" s="263"/>
      <c r="F66" s="262">
        <v>0</v>
      </c>
    </row>
    <row r="67" spans="1:6" ht="14.5">
      <c r="A67" s="259"/>
      <c r="B67" s="260">
        <f t="shared" si="0"/>
        <v>63</v>
      </c>
      <c r="C67" s="261" t="s">
        <v>1007</v>
      </c>
      <c r="D67" s="262"/>
      <c r="E67" s="263"/>
      <c r="F67" s="262">
        <v>0</v>
      </c>
    </row>
    <row r="68" spans="1:6" ht="14.5">
      <c r="A68" s="259"/>
      <c r="B68" s="260">
        <f t="shared" si="0"/>
        <v>64</v>
      </c>
      <c r="C68" s="261" t="s">
        <v>1008</v>
      </c>
      <c r="D68" s="262"/>
      <c r="E68" s="263"/>
      <c r="F68" s="262">
        <v>0</v>
      </c>
    </row>
    <row r="69" spans="1:6" ht="14.5">
      <c r="A69" s="259"/>
      <c r="B69" s="260">
        <f t="shared" si="0"/>
        <v>65</v>
      </c>
      <c r="C69" s="261" t="s">
        <v>1009</v>
      </c>
      <c r="D69" s="262"/>
      <c r="E69" s="263"/>
      <c r="F69" s="262">
        <v>0</v>
      </c>
    </row>
    <row r="70" spans="1:6" ht="14.5">
      <c r="A70" s="259"/>
      <c r="B70" s="260">
        <f t="shared" si="0"/>
        <v>66</v>
      </c>
      <c r="C70" s="261" t="s">
        <v>1010</v>
      </c>
      <c r="D70" s="262"/>
      <c r="E70" s="263"/>
      <c r="F70" s="262">
        <v>0</v>
      </c>
    </row>
    <row r="71" spans="1:6" ht="14.5">
      <c r="A71" s="259"/>
      <c r="B71" s="260">
        <f t="shared" si="0"/>
        <v>67</v>
      </c>
      <c r="C71" s="261" t="s">
        <v>1011</v>
      </c>
      <c r="D71" s="262"/>
      <c r="E71" s="263"/>
      <c r="F71" s="262">
        <v>0</v>
      </c>
    </row>
    <row r="72" spans="1:6" ht="14.5">
      <c r="A72" s="259"/>
      <c r="B72" s="260">
        <f t="shared" si="0"/>
        <v>68</v>
      </c>
      <c r="C72" s="261" t="s">
        <v>1012</v>
      </c>
      <c r="D72" s="262"/>
      <c r="E72" s="265"/>
      <c r="F72" s="262">
        <v>0</v>
      </c>
    </row>
    <row r="73" spans="1:6" ht="14.5">
      <c r="A73" s="259"/>
      <c r="B73" s="260">
        <f t="shared" si="0"/>
        <v>69</v>
      </c>
      <c r="C73" s="261" t="s">
        <v>1013</v>
      </c>
      <c r="D73" s="262"/>
      <c r="E73" s="265"/>
      <c r="F73" s="262">
        <v>0</v>
      </c>
    </row>
    <row r="74" spans="1:6" ht="14.5">
      <c r="A74" s="259"/>
      <c r="B74" s="260">
        <f t="shared" si="0"/>
        <v>70</v>
      </c>
      <c r="C74" s="261" t="s">
        <v>1014</v>
      </c>
      <c r="D74" s="262"/>
      <c r="E74" s="265"/>
      <c r="F74" s="262">
        <v>0</v>
      </c>
    </row>
    <row r="75" spans="1:6" ht="14.5">
      <c r="A75" s="259"/>
      <c r="B75" s="260">
        <f t="shared" si="0"/>
        <v>71</v>
      </c>
      <c r="C75" s="261" t="s">
        <v>1015</v>
      </c>
      <c r="D75" s="262"/>
      <c r="E75" s="265"/>
      <c r="F75" s="262">
        <v>0</v>
      </c>
    </row>
    <row r="76" spans="1:6" ht="14.5">
      <c r="A76" s="259"/>
      <c r="B76" s="260">
        <f t="shared" si="0"/>
        <v>72</v>
      </c>
      <c r="C76" s="261" t="s">
        <v>1016</v>
      </c>
      <c r="D76" s="262"/>
      <c r="E76" s="265"/>
      <c r="F76" s="262">
        <v>0</v>
      </c>
    </row>
    <row r="77" spans="1:6" ht="14.5">
      <c r="A77" s="259"/>
      <c r="B77" s="260">
        <f t="shared" si="0"/>
        <v>73</v>
      </c>
      <c r="C77" s="261" t="s">
        <v>1017</v>
      </c>
      <c r="D77" s="262"/>
      <c r="E77" s="265"/>
      <c r="F77" s="262">
        <v>0</v>
      </c>
    </row>
    <row r="78" spans="1:6" ht="14.5">
      <c r="A78" s="259"/>
      <c r="B78" s="260">
        <f t="shared" si="0"/>
        <v>74</v>
      </c>
      <c r="C78" s="261" t="s">
        <v>1018</v>
      </c>
      <c r="D78" s="262"/>
      <c r="E78" s="265"/>
      <c r="F78" s="262">
        <v>0</v>
      </c>
    </row>
    <row r="79" spans="1:6" ht="14.5">
      <c r="A79" s="259"/>
      <c r="B79" s="260">
        <f t="shared" si="0"/>
        <v>75</v>
      </c>
      <c r="C79" s="261" t="s">
        <v>1019</v>
      </c>
      <c r="D79" s="262"/>
      <c r="E79" s="265"/>
      <c r="F79" s="262">
        <v>0</v>
      </c>
    </row>
    <row r="80" spans="1:6" ht="14.5">
      <c r="A80" s="259"/>
      <c r="B80" s="260">
        <f t="shared" si="0"/>
        <v>76</v>
      </c>
      <c r="C80" s="261" t="s">
        <v>1020</v>
      </c>
      <c r="D80" s="262"/>
      <c r="E80" s="265"/>
      <c r="F80" s="262">
        <v>0</v>
      </c>
    </row>
    <row r="81" spans="1:6" ht="14.5">
      <c r="A81" s="259"/>
      <c r="B81" s="260">
        <f t="shared" si="0"/>
        <v>77</v>
      </c>
      <c r="C81" s="261" t="s">
        <v>1021</v>
      </c>
      <c r="D81" s="262"/>
      <c r="E81" s="265"/>
      <c r="F81" s="262">
        <v>0</v>
      </c>
    </row>
    <row r="82" spans="1:6" ht="14.5">
      <c r="A82" s="259"/>
      <c r="B82" s="260">
        <f t="shared" si="0"/>
        <v>78</v>
      </c>
      <c r="C82" s="261" t="s">
        <v>1022</v>
      </c>
      <c r="D82" s="262"/>
      <c r="E82" s="265"/>
      <c r="F82" s="262">
        <v>0</v>
      </c>
    </row>
    <row r="83" spans="1:6" ht="14.5">
      <c r="A83" s="259"/>
      <c r="B83" s="260">
        <f t="shared" si="0"/>
        <v>79</v>
      </c>
      <c r="C83" s="261" t="s">
        <v>1023</v>
      </c>
      <c r="D83" s="262"/>
      <c r="E83" s="265"/>
      <c r="F83" s="262">
        <v>0</v>
      </c>
    </row>
    <row r="84" spans="1:6" ht="14.5">
      <c r="A84" s="259"/>
      <c r="B84" s="260">
        <f t="shared" si="0"/>
        <v>80</v>
      </c>
      <c r="C84" s="261" t="s">
        <v>1024</v>
      </c>
      <c r="D84" s="262">
        <v>1</v>
      </c>
      <c r="E84" s="265"/>
      <c r="F84" s="262">
        <v>0</v>
      </c>
    </row>
    <row r="85" spans="1:6" ht="14.5">
      <c r="A85" s="259"/>
      <c r="B85" s="260">
        <f t="shared" si="0"/>
        <v>81</v>
      </c>
      <c r="C85" s="261" t="s">
        <v>1025</v>
      </c>
      <c r="D85" s="262"/>
      <c r="E85" s="265"/>
      <c r="F85" s="262">
        <v>0</v>
      </c>
    </row>
    <row r="86" spans="1:6" ht="14.5">
      <c r="A86" s="259"/>
      <c r="B86" s="260">
        <f t="shared" si="0"/>
        <v>82</v>
      </c>
      <c r="C86" s="261" t="s">
        <v>1026</v>
      </c>
      <c r="D86" s="262"/>
      <c r="E86" s="265"/>
      <c r="F86" s="262">
        <v>0</v>
      </c>
    </row>
    <row r="87" spans="1:6" ht="14.5">
      <c r="A87" s="259"/>
      <c r="B87" s="260">
        <f t="shared" si="0"/>
        <v>83</v>
      </c>
      <c r="C87" s="261" t="s">
        <v>1027</v>
      </c>
      <c r="D87" s="262"/>
      <c r="E87" s="265"/>
      <c r="F87" s="262">
        <v>0</v>
      </c>
    </row>
    <row r="88" spans="1:6" ht="14.5">
      <c r="A88" s="259"/>
      <c r="B88" s="260">
        <f t="shared" si="0"/>
        <v>84</v>
      </c>
      <c r="C88" s="261" t="s">
        <v>1028</v>
      </c>
      <c r="D88" s="262"/>
      <c r="E88" s="265"/>
      <c r="F88" s="262">
        <v>0</v>
      </c>
    </row>
    <row r="89" spans="1:6" ht="14.5">
      <c r="A89" s="259"/>
      <c r="B89" s="260">
        <f t="shared" si="0"/>
        <v>85</v>
      </c>
      <c r="C89" s="261" t="s">
        <v>1029</v>
      </c>
      <c r="D89" s="262"/>
      <c r="E89" s="265"/>
      <c r="F89" s="262">
        <v>0</v>
      </c>
    </row>
    <row r="90" spans="1:6" ht="14.5">
      <c r="A90" s="259"/>
      <c r="B90" s="260">
        <f t="shared" si="0"/>
        <v>86</v>
      </c>
      <c r="C90" s="261" t="s">
        <v>1030</v>
      </c>
      <c r="D90" s="262">
        <v>36</v>
      </c>
      <c r="E90" s="265"/>
      <c r="F90" s="262">
        <v>11</v>
      </c>
    </row>
    <row r="91" spans="1:6" ht="14.5">
      <c r="A91" s="259"/>
      <c r="B91" s="260">
        <f t="shared" si="0"/>
        <v>87</v>
      </c>
      <c r="C91" s="261" t="s">
        <v>1031</v>
      </c>
      <c r="D91" s="262">
        <v>34</v>
      </c>
      <c r="E91" s="265"/>
      <c r="F91" s="262">
        <v>4</v>
      </c>
    </row>
    <row r="92" spans="1:6" ht="14.5">
      <c r="A92" s="259"/>
      <c r="B92" s="260">
        <f t="shared" si="0"/>
        <v>88</v>
      </c>
      <c r="C92" s="261" t="s">
        <v>1032</v>
      </c>
      <c r="D92" s="262">
        <v>56</v>
      </c>
      <c r="E92" s="265"/>
      <c r="F92" s="262">
        <v>24</v>
      </c>
    </row>
    <row r="93" spans="1:6" ht="14.5">
      <c r="A93" s="259"/>
      <c r="B93" s="260">
        <f t="shared" si="0"/>
        <v>89</v>
      </c>
      <c r="C93" s="261" t="s">
        <v>1033</v>
      </c>
      <c r="D93" s="262">
        <v>59</v>
      </c>
      <c r="E93" s="265"/>
      <c r="F93" s="262">
        <v>53</v>
      </c>
    </row>
    <row r="94" spans="1:6" ht="14.5">
      <c r="A94" s="259"/>
      <c r="B94" s="260">
        <f t="shared" si="0"/>
        <v>90</v>
      </c>
      <c r="C94" s="261" t="s">
        <v>1034</v>
      </c>
      <c r="D94" s="262">
        <v>65</v>
      </c>
      <c r="E94" s="265"/>
      <c r="F94" s="262">
        <v>35</v>
      </c>
    </row>
    <row r="95" spans="1:6" ht="14.5">
      <c r="A95" s="259"/>
      <c r="B95" s="260">
        <f t="shared" si="0"/>
        <v>91</v>
      </c>
      <c r="C95" s="261" t="s">
        <v>1035</v>
      </c>
      <c r="D95" s="262">
        <v>64</v>
      </c>
      <c r="E95" s="265"/>
      <c r="F95" s="262">
        <v>59</v>
      </c>
    </row>
    <row r="96" spans="1:6" ht="14.5">
      <c r="A96" s="259"/>
      <c r="B96" s="260">
        <f t="shared" si="0"/>
        <v>92</v>
      </c>
      <c r="C96" s="261" t="s">
        <v>1036</v>
      </c>
      <c r="D96" s="262">
        <v>59</v>
      </c>
      <c r="E96" s="265"/>
      <c r="F96" s="262">
        <v>24</v>
      </c>
    </row>
    <row r="97" spans="1:6" ht="14.5">
      <c r="A97" s="259"/>
      <c r="B97" s="260">
        <f t="shared" si="0"/>
        <v>93</v>
      </c>
      <c r="C97" s="261" t="s">
        <v>1037</v>
      </c>
      <c r="D97" s="262">
        <v>57</v>
      </c>
      <c r="E97" s="265"/>
      <c r="F97" s="262">
        <v>25</v>
      </c>
    </row>
    <row r="98" spans="1:6" ht="14.5">
      <c r="A98" s="259"/>
      <c r="B98" s="260">
        <f t="shared" si="0"/>
        <v>94</v>
      </c>
      <c r="C98" s="261" t="s">
        <v>1038</v>
      </c>
      <c r="D98" s="262">
        <v>59</v>
      </c>
      <c r="E98" s="265"/>
      <c r="F98" s="262">
        <v>45</v>
      </c>
    </row>
    <row r="99" spans="1:6" ht="14.5">
      <c r="A99" s="259"/>
      <c r="B99" s="260">
        <f t="shared" si="0"/>
        <v>95</v>
      </c>
      <c r="C99" s="261" t="s">
        <v>1039</v>
      </c>
      <c r="D99" s="262">
        <v>50</v>
      </c>
      <c r="E99" s="265"/>
      <c r="F99" s="262">
        <v>39</v>
      </c>
    </row>
    <row r="100" spans="1:6" ht="14.5">
      <c r="A100" s="259"/>
      <c r="B100" s="260">
        <f t="shared" si="0"/>
        <v>96</v>
      </c>
      <c r="C100" s="261" t="s">
        <v>1040</v>
      </c>
      <c r="D100" s="262"/>
      <c r="E100" s="265">
        <v>10</v>
      </c>
      <c r="F100" s="262">
        <v>4</v>
      </c>
    </row>
    <row r="101" spans="1:6" ht="14.5">
      <c r="A101" s="259"/>
      <c r="B101" s="260">
        <f t="shared" si="0"/>
        <v>97</v>
      </c>
      <c r="C101" s="261" t="s">
        <v>1041</v>
      </c>
      <c r="D101" s="262"/>
      <c r="E101" s="263"/>
      <c r="F101" s="262">
        <v>0</v>
      </c>
    </row>
    <row r="102" spans="1:6" ht="14.5">
      <c r="A102" s="259"/>
      <c r="B102" s="260">
        <f t="shared" si="0"/>
        <v>98</v>
      </c>
      <c r="C102" s="261" t="s">
        <v>1042</v>
      </c>
      <c r="D102" s="262">
        <v>12</v>
      </c>
      <c r="E102" s="263">
        <v>15</v>
      </c>
      <c r="F102" s="262">
        <v>11</v>
      </c>
    </row>
    <row r="103" spans="1:6" ht="14.5">
      <c r="A103" s="259"/>
      <c r="B103" s="260">
        <f t="shared" si="0"/>
        <v>99</v>
      </c>
      <c r="C103" s="261" t="s">
        <v>1043</v>
      </c>
      <c r="D103" s="262"/>
      <c r="E103" s="263">
        <v>10</v>
      </c>
      <c r="F103" s="262">
        <v>1</v>
      </c>
    </row>
    <row r="104" spans="1:6" ht="14.5">
      <c r="A104" s="259"/>
      <c r="B104" s="260">
        <f t="shared" si="0"/>
        <v>100</v>
      </c>
      <c r="C104" s="261" t="s">
        <v>1044</v>
      </c>
      <c r="D104" s="265">
        <v>4</v>
      </c>
      <c r="E104" s="265"/>
      <c r="F104" s="262">
        <v>4</v>
      </c>
    </row>
    <row r="105" spans="1:6" ht="14.5">
      <c r="A105" s="259"/>
      <c r="B105" s="260">
        <f t="shared" si="0"/>
        <v>101</v>
      </c>
      <c r="C105" s="261" t="s">
        <v>1045</v>
      </c>
      <c r="D105" s="264"/>
      <c r="E105" s="265"/>
      <c r="F105" s="262">
        <v>0</v>
      </c>
    </row>
    <row r="106" spans="1:6" ht="14.5">
      <c r="A106" s="259"/>
      <c r="B106" s="260">
        <f t="shared" si="0"/>
        <v>102</v>
      </c>
      <c r="C106" s="261" t="s">
        <v>1046</v>
      </c>
      <c r="D106" s="264"/>
      <c r="E106" s="265"/>
      <c r="F106" s="262">
        <v>0</v>
      </c>
    </row>
    <row r="107" spans="1:6" ht="14.5">
      <c r="A107" s="259"/>
      <c r="B107" s="260">
        <f t="shared" si="0"/>
        <v>103</v>
      </c>
      <c r="C107" s="261" t="s">
        <v>1047</v>
      </c>
      <c r="D107" s="262"/>
      <c r="E107" s="263">
        <v>10</v>
      </c>
      <c r="F107" s="262">
        <v>7</v>
      </c>
    </row>
    <row r="108" spans="1:6" ht="14.5">
      <c r="A108" s="259"/>
      <c r="B108" s="260">
        <f t="shared" si="0"/>
        <v>104</v>
      </c>
      <c r="C108" s="261" t="s">
        <v>1048</v>
      </c>
      <c r="D108" s="262"/>
      <c r="E108" s="263"/>
      <c r="F108" s="262">
        <v>0</v>
      </c>
    </row>
    <row r="109" spans="1:6" ht="14.5">
      <c r="A109" s="259"/>
      <c r="B109" s="260">
        <f t="shared" si="0"/>
        <v>105</v>
      </c>
      <c r="C109" s="261" t="s">
        <v>1049</v>
      </c>
      <c r="D109" s="262"/>
      <c r="E109" s="263">
        <v>10</v>
      </c>
      <c r="F109" s="262">
        <v>0</v>
      </c>
    </row>
    <row r="110" spans="1:6" ht="14.5">
      <c r="A110" s="259"/>
      <c r="B110" s="260">
        <f t="shared" si="0"/>
        <v>106</v>
      </c>
      <c r="C110" s="261" t="s">
        <v>1050</v>
      </c>
      <c r="D110" s="262"/>
      <c r="E110" s="263"/>
      <c r="F110" s="262">
        <v>0</v>
      </c>
    </row>
    <row r="111" spans="1:6" ht="14.5">
      <c r="A111" s="259"/>
      <c r="B111" s="260">
        <f t="shared" si="0"/>
        <v>107</v>
      </c>
      <c r="C111" s="261" t="s">
        <v>1051</v>
      </c>
      <c r="D111" s="262">
        <v>17</v>
      </c>
      <c r="E111" s="263">
        <v>8</v>
      </c>
      <c r="F111" s="262">
        <v>11</v>
      </c>
    </row>
    <row r="112" spans="1:6" ht="14.5">
      <c r="A112" s="259"/>
      <c r="B112" s="260">
        <f t="shared" si="0"/>
        <v>108</v>
      </c>
      <c r="C112" s="261" t="s">
        <v>1052</v>
      </c>
      <c r="D112" s="262">
        <v>189</v>
      </c>
      <c r="E112" s="263">
        <v>240</v>
      </c>
      <c r="F112" s="262">
        <v>257</v>
      </c>
    </row>
    <row r="113" spans="1:6" ht="14.5">
      <c r="A113" s="259"/>
      <c r="B113" s="260">
        <f t="shared" si="0"/>
        <v>109</v>
      </c>
      <c r="C113" s="261" t="s">
        <v>1053</v>
      </c>
      <c r="D113" s="264"/>
      <c r="E113" s="265"/>
      <c r="F113" s="262">
        <v>0</v>
      </c>
    </row>
    <row r="114" spans="1:6" ht="14.5">
      <c r="A114" s="259"/>
      <c r="B114" s="260">
        <f t="shared" si="0"/>
        <v>110</v>
      </c>
      <c r="C114" s="261" t="s">
        <v>1054</v>
      </c>
      <c r="D114" s="262"/>
      <c r="E114" s="265"/>
      <c r="F114" s="262">
        <v>0</v>
      </c>
    </row>
    <row r="115" spans="1:6" ht="14.5">
      <c r="A115" s="259"/>
      <c r="B115" s="260">
        <f t="shared" si="0"/>
        <v>111</v>
      </c>
      <c r="C115" s="261" t="s">
        <v>1055</v>
      </c>
      <c r="D115" s="262"/>
      <c r="E115" s="265"/>
      <c r="F115" s="262">
        <v>0</v>
      </c>
    </row>
    <row r="116" spans="1:6" ht="14.5">
      <c r="A116" s="259"/>
      <c r="B116" s="260">
        <f t="shared" si="0"/>
        <v>112</v>
      </c>
      <c r="C116" s="261" t="s">
        <v>1056</v>
      </c>
      <c r="D116" s="262">
        <v>29</v>
      </c>
      <c r="E116" s="263">
        <v>48</v>
      </c>
      <c r="F116" s="262">
        <v>31</v>
      </c>
    </row>
    <row r="117" spans="1:6" ht="14.5">
      <c r="A117" s="259"/>
      <c r="B117" s="260">
        <f t="shared" si="0"/>
        <v>113</v>
      </c>
      <c r="C117" s="261" t="s">
        <v>1057</v>
      </c>
      <c r="D117" s="262">
        <v>29</v>
      </c>
      <c r="E117" s="263">
        <v>12</v>
      </c>
      <c r="F117" s="262">
        <v>23</v>
      </c>
    </row>
    <row r="118" spans="1:6" ht="14.5">
      <c r="A118" s="259"/>
      <c r="B118" s="260">
        <f t="shared" si="0"/>
        <v>114</v>
      </c>
      <c r="C118" s="261" t="s">
        <v>1058</v>
      </c>
      <c r="D118" s="264"/>
      <c r="E118" s="265"/>
      <c r="F118" s="262">
        <v>0</v>
      </c>
    </row>
    <row r="119" spans="1:6" ht="14.5">
      <c r="A119" s="259"/>
      <c r="B119" s="260">
        <f t="shared" si="0"/>
        <v>115</v>
      </c>
      <c r="C119" s="261" t="s">
        <v>1059</v>
      </c>
      <c r="D119" s="262">
        <v>9</v>
      </c>
      <c r="E119" s="263">
        <v>24</v>
      </c>
      <c r="F119" s="262">
        <v>33</v>
      </c>
    </row>
    <row r="120" spans="1:6" ht="14.5">
      <c r="A120" s="259"/>
      <c r="B120" s="260">
        <f t="shared" si="0"/>
        <v>116</v>
      </c>
      <c r="C120" s="261" t="s">
        <v>1060</v>
      </c>
      <c r="D120" s="264"/>
      <c r="E120" s="265"/>
      <c r="F120" s="262">
        <v>0</v>
      </c>
    </row>
    <row r="121" spans="1:6" ht="14.5">
      <c r="A121" s="259"/>
      <c r="B121" s="260">
        <f t="shared" si="0"/>
        <v>117</v>
      </c>
      <c r="C121" s="261" t="s">
        <v>1061</v>
      </c>
      <c r="D121" s="264">
        <v>69</v>
      </c>
      <c r="E121" s="265">
        <v>120</v>
      </c>
      <c r="F121" s="262">
        <v>77</v>
      </c>
    </row>
    <row r="122" spans="1:6" ht="14.5">
      <c r="A122" s="259"/>
      <c r="B122" s="260">
        <f t="shared" si="0"/>
        <v>118</v>
      </c>
      <c r="C122" s="261" t="s">
        <v>1062</v>
      </c>
      <c r="D122" s="264"/>
      <c r="E122" s="265"/>
      <c r="F122" s="262">
        <v>0</v>
      </c>
    </row>
    <row r="123" spans="1:6" ht="14.5">
      <c r="A123" s="259"/>
      <c r="B123" s="260">
        <f t="shared" si="0"/>
        <v>119</v>
      </c>
      <c r="C123" s="261" t="s">
        <v>1063</v>
      </c>
      <c r="D123" s="262">
        <v>9</v>
      </c>
      <c r="E123" s="265">
        <v>24</v>
      </c>
      <c r="F123" s="262">
        <v>22</v>
      </c>
    </row>
    <row r="124" spans="1:6" ht="14.5">
      <c r="A124" s="259"/>
      <c r="B124" s="260">
        <f t="shared" si="0"/>
        <v>120</v>
      </c>
      <c r="C124" s="261" t="s">
        <v>1064</v>
      </c>
      <c r="D124" s="264"/>
      <c r="E124" s="265"/>
      <c r="F124" s="262">
        <v>0</v>
      </c>
    </row>
    <row r="125" spans="1:6" ht="14.5">
      <c r="A125" s="259"/>
      <c r="B125" s="260">
        <f t="shared" si="0"/>
        <v>121</v>
      </c>
      <c r="C125" s="261" t="s">
        <v>1065</v>
      </c>
      <c r="D125" s="264"/>
      <c r="E125" s="265"/>
      <c r="F125" s="262">
        <v>0</v>
      </c>
    </row>
    <row r="126" spans="1:6" ht="14.5">
      <c r="A126" s="259"/>
      <c r="B126" s="260">
        <f t="shared" si="0"/>
        <v>122</v>
      </c>
      <c r="C126" s="261" t="s">
        <v>930</v>
      </c>
      <c r="D126" s="264"/>
      <c r="E126" s="265"/>
      <c r="F126" s="262">
        <v>0</v>
      </c>
    </row>
    <row r="127" spans="1:6" ht="14.5">
      <c r="A127" s="259"/>
      <c r="B127" s="260">
        <f t="shared" si="0"/>
        <v>123</v>
      </c>
      <c r="C127" s="261" t="s">
        <v>1066</v>
      </c>
      <c r="D127" s="264"/>
      <c r="E127" s="265"/>
      <c r="F127" s="262">
        <v>0</v>
      </c>
    </row>
    <row r="128" spans="1:6" ht="14.5">
      <c r="A128" s="259"/>
      <c r="B128" s="260">
        <f t="shared" si="0"/>
        <v>124</v>
      </c>
      <c r="C128" s="261" t="s">
        <v>1067</v>
      </c>
      <c r="D128" s="262">
        <v>11</v>
      </c>
      <c r="E128" s="263">
        <v>24</v>
      </c>
      <c r="F128" s="262">
        <v>21</v>
      </c>
    </row>
    <row r="129" spans="1:6" ht="14.5">
      <c r="A129" s="259"/>
      <c r="B129" s="260">
        <f t="shared" si="0"/>
        <v>125</v>
      </c>
      <c r="C129" s="261" t="s">
        <v>1068</v>
      </c>
      <c r="D129" s="264"/>
      <c r="E129" s="265"/>
      <c r="F129" s="262">
        <v>0</v>
      </c>
    </row>
    <row r="130" spans="1:6" ht="14.5">
      <c r="A130" s="259"/>
      <c r="B130" s="260">
        <f t="shared" si="0"/>
        <v>126</v>
      </c>
      <c r="C130" s="261" t="s">
        <v>1069</v>
      </c>
      <c r="D130" s="264"/>
      <c r="E130" s="265"/>
      <c r="F130" s="262">
        <v>0</v>
      </c>
    </row>
    <row r="131" spans="1:6" ht="14.5">
      <c r="A131" s="259"/>
      <c r="B131" s="260">
        <f t="shared" si="0"/>
        <v>127</v>
      </c>
      <c r="C131" s="261" t="s">
        <v>1070</v>
      </c>
      <c r="D131" s="264"/>
      <c r="E131" s="263"/>
      <c r="F131" s="262">
        <v>0</v>
      </c>
    </row>
    <row r="132" spans="1:6" ht="14.5">
      <c r="A132" s="259"/>
      <c r="B132" s="260">
        <f t="shared" si="0"/>
        <v>128</v>
      </c>
      <c r="C132" s="261" t="s">
        <v>1071</v>
      </c>
      <c r="D132" s="262"/>
      <c r="E132" s="265"/>
      <c r="F132" s="262">
        <v>0</v>
      </c>
    </row>
    <row r="133" spans="1:6" ht="14.5">
      <c r="A133" s="259"/>
      <c r="B133" s="260">
        <f t="shared" si="0"/>
        <v>129</v>
      </c>
      <c r="C133" s="261" t="s">
        <v>1072</v>
      </c>
      <c r="D133" s="262"/>
      <c r="E133" s="265"/>
      <c r="F133" s="262">
        <v>0</v>
      </c>
    </row>
    <row r="134" spans="1:6" ht="14.5">
      <c r="A134" s="259"/>
      <c r="B134" s="260">
        <f t="shared" si="0"/>
        <v>130</v>
      </c>
      <c r="C134" s="261" t="s">
        <v>1073</v>
      </c>
      <c r="D134" s="262"/>
      <c r="E134" s="265"/>
      <c r="F134" s="262">
        <v>0</v>
      </c>
    </row>
    <row r="135" spans="1:6" ht="14.5">
      <c r="A135" s="259"/>
      <c r="B135" s="260"/>
      <c r="C135" s="261" t="s">
        <v>1074</v>
      </c>
      <c r="D135" s="265"/>
      <c r="E135" s="265">
        <v>160</v>
      </c>
      <c r="F135" s="262"/>
    </row>
    <row r="136" spans="1:6" ht="14.5">
      <c r="A136" s="259"/>
      <c r="B136" s="260">
        <f t="shared" ref="B136:B185" si="1">ROW()-4</f>
        <v>132</v>
      </c>
      <c r="C136" s="261" t="s">
        <v>1075</v>
      </c>
      <c r="D136" s="265">
        <v>13</v>
      </c>
      <c r="E136" s="265"/>
      <c r="F136" s="262">
        <v>10</v>
      </c>
    </row>
    <row r="137" spans="1:6" ht="14.5">
      <c r="A137" s="259"/>
      <c r="B137" s="260">
        <f t="shared" si="1"/>
        <v>133</v>
      </c>
      <c r="C137" s="266" t="s">
        <v>1076</v>
      </c>
      <c r="D137" s="265">
        <v>14</v>
      </c>
      <c r="E137" s="265"/>
      <c r="F137" s="262">
        <v>7</v>
      </c>
    </row>
    <row r="138" spans="1:6" ht="14.5">
      <c r="A138" s="259"/>
      <c r="B138" s="260">
        <f t="shared" si="1"/>
        <v>134</v>
      </c>
      <c r="C138" s="267" t="s">
        <v>1077</v>
      </c>
      <c r="D138" s="265">
        <v>13</v>
      </c>
      <c r="E138" s="265"/>
      <c r="F138" s="262">
        <v>9</v>
      </c>
    </row>
    <row r="139" spans="1:6" ht="14.5">
      <c r="A139" s="259"/>
      <c r="B139" s="260">
        <f t="shared" si="1"/>
        <v>135</v>
      </c>
      <c r="C139" s="267" t="s">
        <v>1078</v>
      </c>
      <c r="D139" s="265">
        <v>12</v>
      </c>
      <c r="E139" s="265"/>
      <c r="F139" s="262">
        <v>9</v>
      </c>
    </row>
    <row r="140" spans="1:6" ht="14.5">
      <c r="A140" s="259"/>
      <c r="B140" s="260">
        <f t="shared" si="1"/>
        <v>136</v>
      </c>
      <c r="C140" s="267" t="s">
        <v>1079</v>
      </c>
      <c r="D140" s="268">
        <v>1</v>
      </c>
      <c r="E140" s="268"/>
      <c r="F140" s="262">
        <v>0</v>
      </c>
    </row>
    <row r="141" spans="1:6" ht="14.5">
      <c r="A141" s="259"/>
      <c r="B141" s="260">
        <f t="shared" si="1"/>
        <v>137</v>
      </c>
      <c r="C141" s="269" t="s">
        <v>1080</v>
      </c>
      <c r="D141" s="265">
        <v>11</v>
      </c>
      <c r="E141" s="265"/>
      <c r="F141" s="262">
        <v>0</v>
      </c>
    </row>
    <row r="142" spans="1:6" ht="14.5">
      <c r="A142" s="259"/>
      <c r="B142" s="260">
        <f t="shared" si="1"/>
        <v>138</v>
      </c>
      <c r="C142" s="267" t="s">
        <v>1081</v>
      </c>
      <c r="D142" s="265">
        <v>7</v>
      </c>
      <c r="E142" s="265"/>
      <c r="F142" s="262">
        <v>0</v>
      </c>
    </row>
    <row r="143" spans="1:6" ht="14.5">
      <c r="A143" s="259"/>
      <c r="B143" s="260">
        <f t="shared" si="1"/>
        <v>139</v>
      </c>
      <c r="C143" s="266" t="s">
        <v>1082</v>
      </c>
      <c r="D143" s="265">
        <v>12</v>
      </c>
      <c r="E143" s="265"/>
      <c r="F143" s="262">
        <v>2</v>
      </c>
    </row>
    <row r="144" spans="1:6" ht="14.5">
      <c r="A144" s="259"/>
      <c r="B144" s="260">
        <f t="shared" si="1"/>
        <v>140</v>
      </c>
      <c r="C144" s="261" t="s">
        <v>1083</v>
      </c>
      <c r="D144" s="262"/>
      <c r="E144" s="265"/>
      <c r="F144" s="262">
        <v>0</v>
      </c>
    </row>
    <row r="145" spans="1:6" ht="14.5">
      <c r="A145" s="259"/>
      <c r="B145" s="260">
        <f t="shared" si="1"/>
        <v>141</v>
      </c>
      <c r="C145" s="261" t="s">
        <v>1084</v>
      </c>
      <c r="D145" s="264"/>
      <c r="E145" s="265"/>
      <c r="F145" s="262">
        <v>0</v>
      </c>
    </row>
    <row r="146" spans="1:6" ht="14.5">
      <c r="A146" s="259"/>
      <c r="B146" s="260">
        <f t="shared" si="1"/>
        <v>142</v>
      </c>
      <c r="C146" s="267" t="s">
        <v>1085</v>
      </c>
      <c r="D146" s="264"/>
      <c r="E146" s="265"/>
      <c r="F146" s="262">
        <v>0</v>
      </c>
    </row>
    <row r="147" spans="1:6" ht="14.5">
      <c r="A147" s="259"/>
      <c r="B147" s="260">
        <f t="shared" si="1"/>
        <v>143</v>
      </c>
      <c r="C147" s="267" t="s">
        <v>1086</v>
      </c>
      <c r="D147" s="262"/>
      <c r="E147" s="265"/>
      <c r="F147" s="262">
        <v>0</v>
      </c>
    </row>
    <row r="148" spans="1:6" ht="14.25" customHeight="1">
      <c r="A148" s="259"/>
      <c r="B148" s="260">
        <f t="shared" si="1"/>
        <v>144</v>
      </c>
      <c r="C148" s="267" t="s">
        <v>1087</v>
      </c>
      <c r="D148" s="262"/>
      <c r="E148" s="265"/>
      <c r="F148" s="262">
        <v>0</v>
      </c>
    </row>
    <row r="149" spans="1:6" ht="14.5">
      <c r="A149" s="259"/>
      <c r="B149" s="260">
        <f t="shared" si="1"/>
        <v>145</v>
      </c>
      <c r="C149" s="261" t="s">
        <v>1088</v>
      </c>
      <c r="D149" s="262"/>
      <c r="E149" s="265"/>
      <c r="F149" s="262">
        <v>0</v>
      </c>
    </row>
    <row r="150" spans="1:6" ht="14.5">
      <c r="A150" s="259"/>
      <c r="B150" s="260">
        <f t="shared" si="1"/>
        <v>146</v>
      </c>
      <c r="C150" s="267" t="s">
        <v>1089</v>
      </c>
      <c r="D150" s="262"/>
      <c r="E150" s="265"/>
      <c r="F150" s="262">
        <v>0</v>
      </c>
    </row>
    <row r="151" spans="1:6" ht="14.5">
      <c r="A151" s="259"/>
      <c r="B151" s="260">
        <f t="shared" si="1"/>
        <v>147</v>
      </c>
      <c r="C151" s="267" t="s">
        <v>1090</v>
      </c>
      <c r="D151" s="264"/>
      <c r="E151" s="265"/>
      <c r="F151" s="262">
        <v>0</v>
      </c>
    </row>
    <row r="152" spans="1:6" ht="14.5">
      <c r="A152" s="259"/>
      <c r="B152" s="260">
        <f t="shared" si="1"/>
        <v>148</v>
      </c>
      <c r="C152" s="267" t="s">
        <v>1091</v>
      </c>
      <c r="D152" s="262">
        <v>2</v>
      </c>
      <c r="E152" s="265"/>
      <c r="F152" s="262">
        <v>1</v>
      </c>
    </row>
    <row r="153" spans="1:6" ht="14.5">
      <c r="A153" s="259"/>
      <c r="B153" s="260">
        <f t="shared" si="1"/>
        <v>149</v>
      </c>
      <c r="C153" s="267" t="s">
        <v>1092</v>
      </c>
      <c r="D153" s="262"/>
      <c r="E153" s="265"/>
      <c r="F153" s="262">
        <v>0</v>
      </c>
    </row>
    <row r="154" spans="1:6" ht="14.5">
      <c r="A154" s="259"/>
      <c r="B154" s="260">
        <f t="shared" si="1"/>
        <v>150</v>
      </c>
      <c r="C154" s="267" t="s">
        <v>1093</v>
      </c>
      <c r="D154" s="262"/>
      <c r="E154" s="265"/>
      <c r="F154" s="262">
        <v>0</v>
      </c>
    </row>
    <row r="155" spans="1:6" ht="14.5">
      <c r="A155" s="259"/>
      <c r="B155" s="260">
        <f t="shared" si="1"/>
        <v>151</v>
      </c>
      <c r="C155" s="267" t="s">
        <v>1094</v>
      </c>
      <c r="D155" s="262"/>
      <c r="E155" s="265"/>
      <c r="F155" s="262">
        <v>0</v>
      </c>
    </row>
    <row r="156" spans="1:6" ht="14.5">
      <c r="A156" s="259"/>
      <c r="B156" s="260">
        <f t="shared" si="1"/>
        <v>152</v>
      </c>
      <c r="C156" s="267" t="s">
        <v>1095</v>
      </c>
      <c r="D156" s="262"/>
      <c r="E156" s="265"/>
      <c r="F156" s="262">
        <v>0</v>
      </c>
    </row>
    <row r="157" spans="1:6" ht="14.5">
      <c r="A157" s="259"/>
      <c r="B157" s="260">
        <f t="shared" si="1"/>
        <v>153</v>
      </c>
      <c r="C157" s="267" t="s">
        <v>1096</v>
      </c>
      <c r="D157" s="262"/>
      <c r="E157" s="265"/>
      <c r="F157" s="262">
        <v>0</v>
      </c>
    </row>
    <row r="158" spans="1:6" ht="14.5">
      <c r="A158" s="259"/>
      <c r="B158" s="260">
        <f t="shared" si="1"/>
        <v>154</v>
      </c>
      <c r="C158" s="261" t="s">
        <v>1097</v>
      </c>
      <c r="D158" s="262">
        <v>41</v>
      </c>
      <c r="E158" s="263">
        <v>30</v>
      </c>
      <c r="F158" s="262">
        <v>49</v>
      </c>
    </row>
    <row r="159" spans="1:6" ht="14.5">
      <c r="A159" s="259"/>
      <c r="B159" s="260">
        <f t="shared" si="1"/>
        <v>155</v>
      </c>
      <c r="C159" s="270" t="s">
        <v>1098</v>
      </c>
      <c r="D159" s="264">
        <v>5</v>
      </c>
      <c r="E159" s="265"/>
      <c r="F159" s="262">
        <v>2</v>
      </c>
    </row>
    <row r="160" spans="1:6" ht="14.5">
      <c r="A160" s="259"/>
      <c r="B160" s="260">
        <f t="shared" si="1"/>
        <v>156</v>
      </c>
      <c r="C160" s="270" t="s">
        <v>1099</v>
      </c>
      <c r="D160" s="264">
        <v>2</v>
      </c>
      <c r="E160" s="265"/>
      <c r="F160" s="262">
        <v>0</v>
      </c>
    </row>
    <row r="161" spans="1:6" ht="14.5">
      <c r="A161" s="259"/>
      <c r="B161" s="260">
        <f t="shared" si="1"/>
        <v>157</v>
      </c>
      <c r="C161" s="261" t="s">
        <v>1100</v>
      </c>
      <c r="D161" s="262">
        <v>3</v>
      </c>
      <c r="E161" s="263"/>
      <c r="F161" s="262">
        <v>0</v>
      </c>
    </row>
    <row r="162" spans="1:6" ht="14.5">
      <c r="A162" s="259"/>
      <c r="B162" s="260">
        <f t="shared" si="1"/>
        <v>158</v>
      </c>
      <c r="C162" s="261" t="s">
        <v>1101</v>
      </c>
      <c r="D162" s="262">
        <v>4</v>
      </c>
      <c r="E162" s="263"/>
      <c r="F162" s="262">
        <v>0</v>
      </c>
    </row>
    <row r="163" spans="1:6" ht="14.5">
      <c r="A163" s="259"/>
      <c r="B163" s="260">
        <f t="shared" si="1"/>
        <v>159</v>
      </c>
      <c r="C163" s="261" t="s">
        <v>1102</v>
      </c>
      <c r="D163" s="262">
        <v>1</v>
      </c>
      <c r="E163" s="263">
        <v>3</v>
      </c>
      <c r="F163" s="262">
        <v>1</v>
      </c>
    </row>
    <row r="164" spans="1:6" ht="14.5">
      <c r="A164" s="259"/>
      <c r="B164" s="260">
        <f t="shared" si="1"/>
        <v>160</v>
      </c>
      <c r="C164" s="261" t="s">
        <v>238</v>
      </c>
      <c r="D164" s="262"/>
      <c r="E164" s="263"/>
      <c r="F164" s="262">
        <v>0</v>
      </c>
    </row>
    <row r="165" spans="1:6" ht="14.5">
      <c r="A165" s="259"/>
      <c r="B165" s="260">
        <f t="shared" si="1"/>
        <v>161</v>
      </c>
      <c r="C165" s="261" t="s">
        <v>1103</v>
      </c>
      <c r="D165" s="262"/>
      <c r="E165" s="263"/>
      <c r="F165" s="262">
        <v>0</v>
      </c>
    </row>
    <row r="166" spans="1:6" ht="14.5">
      <c r="A166" s="259"/>
      <c r="B166" s="260">
        <f t="shared" si="1"/>
        <v>162</v>
      </c>
      <c r="C166" s="261" t="s">
        <v>242</v>
      </c>
      <c r="D166" s="262"/>
      <c r="E166" s="263"/>
      <c r="F166" s="262">
        <v>0</v>
      </c>
    </row>
    <row r="167" spans="1:6" ht="14.5">
      <c r="A167" s="259"/>
      <c r="B167" s="260">
        <f t="shared" si="1"/>
        <v>163</v>
      </c>
      <c r="C167" s="261" t="s">
        <v>1104</v>
      </c>
      <c r="D167" s="263">
        <v>16</v>
      </c>
      <c r="E167" s="265"/>
      <c r="F167" s="262">
        <v>0</v>
      </c>
    </row>
    <row r="168" spans="1:6" ht="14.5">
      <c r="A168" s="259"/>
      <c r="B168" s="260">
        <f t="shared" si="1"/>
        <v>164</v>
      </c>
      <c r="C168" s="261" t="s">
        <v>1105</v>
      </c>
      <c r="D168" s="263">
        <v>37</v>
      </c>
      <c r="E168" s="265"/>
      <c r="F168" s="262">
        <v>16</v>
      </c>
    </row>
    <row r="169" spans="1:6" ht="14.5">
      <c r="A169" s="259"/>
      <c r="B169" s="260">
        <f t="shared" si="1"/>
        <v>165</v>
      </c>
      <c r="C169" s="261" t="s">
        <v>1106</v>
      </c>
      <c r="D169" s="263">
        <v>23</v>
      </c>
      <c r="E169" s="265"/>
      <c r="F169" s="262">
        <v>0</v>
      </c>
    </row>
    <row r="170" spans="1:6" ht="14.5">
      <c r="A170" s="259"/>
      <c r="B170" s="260">
        <f t="shared" si="1"/>
        <v>166</v>
      </c>
      <c r="C170" s="261" t="s">
        <v>1107</v>
      </c>
      <c r="D170" s="263"/>
      <c r="E170" s="265"/>
      <c r="F170" s="262">
        <v>0</v>
      </c>
    </row>
    <row r="171" spans="1:6" ht="14.5">
      <c r="A171" s="259"/>
      <c r="B171" s="260">
        <f t="shared" si="1"/>
        <v>167</v>
      </c>
      <c r="C171" s="261" t="s">
        <v>1108</v>
      </c>
      <c r="D171" s="263">
        <v>33</v>
      </c>
      <c r="E171" s="265"/>
      <c r="F171" s="262">
        <v>12</v>
      </c>
    </row>
    <row r="172" spans="1:6" ht="14.5">
      <c r="A172" s="259"/>
      <c r="B172" s="260">
        <f t="shared" si="1"/>
        <v>168</v>
      </c>
      <c r="C172" s="261" t="s">
        <v>1109</v>
      </c>
      <c r="D172" s="263">
        <v>42</v>
      </c>
      <c r="E172" s="265"/>
      <c r="F172" s="262">
        <v>13</v>
      </c>
    </row>
    <row r="173" spans="1:6" ht="14.5">
      <c r="A173" s="259"/>
      <c r="B173" s="260">
        <f t="shared" si="1"/>
        <v>169</v>
      </c>
      <c r="C173" s="261" t="s">
        <v>1110</v>
      </c>
      <c r="D173" s="265">
        <v>33</v>
      </c>
      <c r="E173" s="265"/>
      <c r="F173" s="262">
        <v>6</v>
      </c>
    </row>
    <row r="174" spans="1:6" ht="14.5">
      <c r="A174" s="259"/>
      <c r="B174" s="260">
        <f t="shared" si="1"/>
        <v>170</v>
      </c>
      <c r="C174" s="261" t="s">
        <v>1111</v>
      </c>
      <c r="D174" s="265">
        <v>32</v>
      </c>
      <c r="E174" s="265"/>
      <c r="F174" s="262">
        <v>3</v>
      </c>
    </row>
    <row r="175" spans="1:6" ht="14.5">
      <c r="A175" s="259"/>
      <c r="B175" s="260">
        <f t="shared" si="1"/>
        <v>171</v>
      </c>
      <c r="C175" s="261" t="s">
        <v>1112</v>
      </c>
      <c r="D175" s="265">
        <v>32</v>
      </c>
      <c r="E175" s="265"/>
      <c r="F175" s="262">
        <v>9</v>
      </c>
    </row>
    <row r="176" spans="1:6" ht="14.5">
      <c r="A176" s="271"/>
      <c r="B176" s="260">
        <f t="shared" si="1"/>
        <v>172</v>
      </c>
      <c r="C176" s="261" t="s">
        <v>1113</v>
      </c>
      <c r="D176" s="265">
        <v>36</v>
      </c>
      <c r="E176" s="265">
        <v>48</v>
      </c>
      <c r="F176" s="262">
        <v>30</v>
      </c>
    </row>
    <row r="177" spans="2:6" ht="14.5">
      <c r="B177" s="260">
        <f t="shared" si="1"/>
        <v>173</v>
      </c>
      <c r="C177" s="261" t="s">
        <v>1114</v>
      </c>
      <c r="D177" s="263">
        <v>6</v>
      </c>
      <c r="E177" s="265">
        <v>10</v>
      </c>
      <c r="F177" s="262">
        <v>8</v>
      </c>
    </row>
    <row r="178" spans="2:6" ht="14.5">
      <c r="B178" s="260">
        <f t="shared" si="1"/>
        <v>174</v>
      </c>
      <c r="C178" s="261" t="s">
        <v>1115</v>
      </c>
      <c r="D178" s="263"/>
      <c r="E178" s="265"/>
      <c r="F178" s="262">
        <v>0</v>
      </c>
    </row>
    <row r="179" spans="2:6" ht="14.5">
      <c r="B179" s="260">
        <f t="shared" si="1"/>
        <v>175</v>
      </c>
      <c r="C179" s="261" t="s">
        <v>1116</v>
      </c>
      <c r="D179" s="263"/>
      <c r="E179" s="265"/>
      <c r="F179" s="262">
        <v>0</v>
      </c>
    </row>
    <row r="180" spans="2:6" ht="14.5">
      <c r="B180" s="260">
        <f t="shared" si="1"/>
        <v>176</v>
      </c>
      <c r="C180" s="261" t="s">
        <v>1117</v>
      </c>
      <c r="D180" s="263">
        <v>25</v>
      </c>
      <c r="E180" s="265"/>
      <c r="F180" s="262">
        <v>9</v>
      </c>
    </row>
    <row r="181" spans="2:6" ht="14.5">
      <c r="B181" s="260">
        <f t="shared" si="1"/>
        <v>177</v>
      </c>
      <c r="C181" s="261" t="s">
        <v>1118</v>
      </c>
      <c r="D181" s="263">
        <v>43</v>
      </c>
      <c r="E181" s="265"/>
      <c r="F181" s="262">
        <v>13</v>
      </c>
    </row>
    <row r="182" spans="2:6" ht="14.5">
      <c r="B182" s="260">
        <f t="shared" si="1"/>
        <v>178</v>
      </c>
      <c r="C182" s="261" t="s">
        <v>1119</v>
      </c>
      <c r="D182" s="263">
        <v>39</v>
      </c>
      <c r="E182" s="265"/>
      <c r="F182" s="262">
        <v>9</v>
      </c>
    </row>
    <row r="183" spans="2:6" ht="14.5">
      <c r="B183" s="260">
        <f t="shared" si="1"/>
        <v>179</v>
      </c>
      <c r="C183" s="261" t="s">
        <v>1120</v>
      </c>
      <c r="D183" s="263"/>
      <c r="E183" s="265"/>
      <c r="F183" s="262">
        <v>0</v>
      </c>
    </row>
    <row r="184" spans="2:6" ht="14.5">
      <c r="B184" s="260">
        <f t="shared" si="1"/>
        <v>180</v>
      </c>
      <c r="C184" s="261" t="s">
        <v>1121</v>
      </c>
      <c r="D184" s="263">
        <v>25</v>
      </c>
      <c r="E184" s="265"/>
      <c r="F184" s="262">
        <v>0</v>
      </c>
    </row>
    <row r="185" spans="2:6" ht="14.5">
      <c r="B185" s="260">
        <f t="shared" si="1"/>
        <v>181</v>
      </c>
      <c r="C185" s="261" t="s">
        <v>1122</v>
      </c>
      <c r="D185" s="263"/>
      <c r="E185" s="265"/>
      <c r="F185" s="262">
        <v>0</v>
      </c>
    </row>
    <row r="186" spans="2:6" ht="14.5">
      <c r="B186" s="272"/>
      <c r="C186" s="273"/>
      <c r="D186" s="274">
        <f>SUM(D1:D182)</f>
        <v>1895</v>
      </c>
      <c r="E186" s="274">
        <f t="shared" ref="E186" si="2">SUM(E5:E182)</f>
        <v>846</v>
      </c>
      <c r="F186" s="275">
        <f t="shared" ref="F186" si="3">SUM(F5:F185)</f>
        <v>1277</v>
      </c>
    </row>
    <row r="187" spans="2:6" ht="14.5"/>
    <row r="188" spans="2:6" ht="14.5">
      <c r="C188" s="206" t="s">
        <v>1123</v>
      </c>
    </row>
    <row r="189" spans="2:6" ht="14.5">
      <c r="C189" s="206" t="s">
        <v>1124</v>
      </c>
    </row>
    <row r="190" spans="2:6" ht="14.5">
      <c r="C190" s="206" t="s">
        <v>1125</v>
      </c>
    </row>
    <row r="191" spans="2:6" ht="14.5">
      <c r="C191" s="206" t="s">
        <v>1126</v>
      </c>
    </row>
    <row r="192" spans="2:6" ht="14.5">
      <c r="C192" s="206" t="s">
        <v>1127</v>
      </c>
    </row>
    <row r="193" ht="14.5"/>
  </sheetData>
  <mergeCells count="6">
    <mergeCell ref="F3:F4"/>
    <mergeCell ref="D1:E2"/>
    <mergeCell ref="B3:B4"/>
    <mergeCell ref="C3:C4"/>
    <mergeCell ref="D3:D4"/>
    <mergeCell ref="E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4908-422E-4E52-9045-4EC4ADB496F0}">
  <sheetPr>
    <outlinePr summaryBelow="0" summaryRight="0"/>
  </sheetPr>
  <dimension ref="A1:C126"/>
  <sheetViews>
    <sheetView workbookViewId="0">
      <selection activeCell="E78" sqref="E78"/>
    </sheetView>
  </sheetViews>
  <sheetFormatPr defaultColWidth="14.453125" defaultRowHeight="15" customHeight="1"/>
  <cols>
    <col min="1" max="1" width="14.453125" style="206"/>
    <col min="2" max="2" width="43.54296875" style="206" customWidth="1"/>
    <col min="3" max="3" width="7.54296875" style="206" customWidth="1"/>
    <col min="4" max="16384" width="14.453125" style="206"/>
  </cols>
  <sheetData>
    <row r="1" spans="1:3" ht="14.5">
      <c r="A1" s="298" t="s">
        <v>859</v>
      </c>
      <c r="B1" s="298" t="s">
        <v>860</v>
      </c>
      <c r="C1" s="297" t="s">
        <v>5</v>
      </c>
    </row>
    <row r="2" spans="1:3" ht="14.5">
      <c r="A2" s="296"/>
      <c r="B2" s="296"/>
      <c r="C2" s="296"/>
    </row>
    <row r="3" spans="1:3" ht="14.5">
      <c r="A3" s="245">
        <v>1</v>
      </c>
      <c r="B3" s="246" t="s">
        <v>863</v>
      </c>
      <c r="C3" s="247">
        <v>5</v>
      </c>
    </row>
    <row r="4" spans="1:3" ht="14.5">
      <c r="A4" s="245">
        <v>2</v>
      </c>
      <c r="B4" s="246" t="s">
        <v>864</v>
      </c>
      <c r="C4" s="247">
        <v>2</v>
      </c>
    </row>
    <row r="5" spans="1:3" ht="14.5">
      <c r="A5" s="245">
        <v>3</v>
      </c>
      <c r="B5" s="246" t="s">
        <v>865</v>
      </c>
      <c r="C5" s="247">
        <v>4</v>
      </c>
    </row>
    <row r="6" spans="1:3" ht="14.5">
      <c r="A6" s="245">
        <v>4</v>
      </c>
      <c r="B6" s="246" t="s">
        <v>866</v>
      </c>
      <c r="C6" s="247">
        <v>0</v>
      </c>
    </row>
    <row r="7" spans="1:3" ht="14.5">
      <c r="A7" s="245">
        <v>5</v>
      </c>
      <c r="B7" s="246" t="s">
        <v>867</v>
      </c>
      <c r="C7" s="247">
        <v>5</v>
      </c>
    </row>
    <row r="8" spans="1:3" ht="14.5">
      <c r="A8" s="245">
        <v>6</v>
      </c>
      <c r="B8" s="246" t="s">
        <v>868</v>
      </c>
      <c r="C8" s="247">
        <v>5</v>
      </c>
    </row>
    <row r="9" spans="1:3" ht="14.5">
      <c r="A9" s="245">
        <v>7</v>
      </c>
      <c r="B9" s="246" t="s">
        <v>869</v>
      </c>
      <c r="C9" s="247">
        <v>9</v>
      </c>
    </row>
    <row r="10" spans="1:3" ht="14.5">
      <c r="A10" s="245">
        <v>8</v>
      </c>
      <c r="B10" s="246" t="s">
        <v>870</v>
      </c>
      <c r="C10" s="247">
        <v>5</v>
      </c>
    </row>
    <row r="11" spans="1:3" ht="14.5">
      <c r="A11" s="245">
        <v>9</v>
      </c>
      <c r="B11" s="246" t="s">
        <v>871</v>
      </c>
      <c r="C11" s="247">
        <v>5</v>
      </c>
    </row>
    <row r="12" spans="1:3" ht="14.5">
      <c r="A12" s="245">
        <v>10</v>
      </c>
      <c r="B12" s="246" t="s">
        <v>872</v>
      </c>
      <c r="C12" s="247">
        <v>3</v>
      </c>
    </row>
    <row r="13" spans="1:3" ht="14.5">
      <c r="A13" s="245">
        <v>11</v>
      </c>
      <c r="B13" s="246" t="s">
        <v>873</v>
      </c>
      <c r="C13" s="247">
        <v>3</v>
      </c>
    </row>
    <row r="14" spans="1:3" ht="14.5">
      <c r="A14" s="245">
        <v>12</v>
      </c>
      <c r="B14" s="246" t="s">
        <v>874</v>
      </c>
      <c r="C14" s="247">
        <v>4</v>
      </c>
    </row>
    <row r="15" spans="1:3" ht="14.5">
      <c r="A15" s="245">
        <v>13</v>
      </c>
      <c r="B15" s="246" t="s">
        <v>875</v>
      </c>
      <c r="C15" s="247">
        <v>0</v>
      </c>
    </row>
    <row r="16" spans="1:3" ht="14.5">
      <c r="A16" s="245">
        <v>14</v>
      </c>
      <c r="B16" s="246" t="s">
        <v>876</v>
      </c>
      <c r="C16" s="247">
        <v>2</v>
      </c>
    </row>
    <row r="17" spans="1:3" ht="14.5">
      <c r="A17" s="245">
        <v>15</v>
      </c>
      <c r="B17" s="246" t="s">
        <v>877</v>
      </c>
      <c r="C17" s="247">
        <v>6</v>
      </c>
    </row>
    <row r="18" spans="1:3" ht="14.5">
      <c r="A18" s="245">
        <v>16</v>
      </c>
      <c r="B18" s="246" t="s">
        <v>878</v>
      </c>
      <c r="C18" s="247">
        <v>4</v>
      </c>
    </row>
    <row r="19" spans="1:3" ht="14.5">
      <c r="A19" s="245">
        <v>17</v>
      </c>
      <c r="B19" s="246" t="s">
        <v>879</v>
      </c>
      <c r="C19" s="247">
        <v>6</v>
      </c>
    </row>
    <row r="20" spans="1:3" ht="14.5">
      <c r="A20" s="245">
        <v>19</v>
      </c>
      <c r="B20" s="246" t="s">
        <v>880</v>
      </c>
      <c r="C20" s="247">
        <v>5</v>
      </c>
    </row>
    <row r="21" spans="1:3" ht="14.5">
      <c r="A21" s="245">
        <v>20</v>
      </c>
      <c r="B21" s="246" t="s">
        <v>881</v>
      </c>
      <c r="C21" s="247">
        <v>2</v>
      </c>
    </row>
    <row r="22" spans="1:3" ht="14.5">
      <c r="A22" s="245">
        <v>21</v>
      </c>
      <c r="B22" s="246" t="s">
        <v>882</v>
      </c>
      <c r="C22" s="247">
        <v>4</v>
      </c>
    </row>
    <row r="23" spans="1:3" ht="14.5">
      <c r="A23" s="245">
        <v>22</v>
      </c>
      <c r="B23" s="246" t="s">
        <v>883</v>
      </c>
      <c r="C23" s="247">
        <v>6</v>
      </c>
    </row>
    <row r="24" spans="1:3" ht="14.5">
      <c r="A24" s="245">
        <v>23</v>
      </c>
      <c r="B24" s="246" t="s">
        <v>884</v>
      </c>
      <c r="C24" s="247">
        <v>0</v>
      </c>
    </row>
    <row r="25" spans="1:3" ht="14.5">
      <c r="A25" s="245">
        <v>24</v>
      </c>
      <c r="B25" s="246" t="s">
        <v>885</v>
      </c>
      <c r="C25" s="247">
        <v>0</v>
      </c>
    </row>
    <row r="26" spans="1:3" ht="14.5">
      <c r="A26" s="245">
        <v>25</v>
      </c>
      <c r="B26" s="246" t="s">
        <v>886</v>
      </c>
      <c r="C26" s="247">
        <v>0</v>
      </c>
    </row>
    <row r="27" spans="1:3" ht="14.5">
      <c r="A27" s="245">
        <v>26</v>
      </c>
      <c r="B27" s="246" t="s">
        <v>887</v>
      </c>
      <c r="C27" s="247">
        <v>0</v>
      </c>
    </row>
    <row r="28" spans="1:3" ht="14.5">
      <c r="A28" s="245">
        <v>27</v>
      </c>
      <c r="B28" s="246" t="s">
        <v>888</v>
      </c>
      <c r="C28" s="247">
        <v>0</v>
      </c>
    </row>
    <row r="29" spans="1:3" ht="14.5">
      <c r="A29" s="245">
        <v>28</v>
      </c>
      <c r="B29" s="246" t="s">
        <v>889</v>
      </c>
      <c r="C29" s="247">
        <v>5</v>
      </c>
    </row>
    <row r="30" spans="1:3" ht="14.5">
      <c r="A30" s="245">
        <v>29</v>
      </c>
      <c r="B30" s="246" t="s">
        <v>890</v>
      </c>
      <c r="C30" s="247">
        <v>1</v>
      </c>
    </row>
    <row r="31" spans="1:3" ht="14.5">
      <c r="A31" s="245">
        <v>31</v>
      </c>
      <c r="B31" s="249" t="s">
        <v>891</v>
      </c>
      <c r="C31" s="247">
        <v>0</v>
      </c>
    </row>
    <row r="32" spans="1:3" ht="14.5">
      <c r="A32" s="245">
        <v>30</v>
      </c>
      <c r="B32" s="246" t="s">
        <v>892</v>
      </c>
      <c r="C32" s="247">
        <v>1</v>
      </c>
    </row>
    <row r="33" spans="1:3" ht="14.5">
      <c r="A33" s="245">
        <v>32</v>
      </c>
      <c r="B33" s="249" t="s">
        <v>893</v>
      </c>
      <c r="C33" s="247">
        <v>0</v>
      </c>
    </row>
    <row r="34" spans="1:3" ht="14.5">
      <c r="A34" s="245">
        <v>33</v>
      </c>
      <c r="B34" s="249" t="s">
        <v>894</v>
      </c>
      <c r="C34" s="247">
        <v>50</v>
      </c>
    </row>
    <row r="35" spans="1:3" ht="14.5">
      <c r="A35" s="245">
        <v>34</v>
      </c>
      <c r="B35" s="249" t="s">
        <v>895</v>
      </c>
      <c r="C35" s="247">
        <v>42</v>
      </c>
    </row>
    <row r="36" spans="1:3" ht="14.5">
      <c r="A36" s="245">
        <v>35</v>
      </c>
      <c r="B36" s="249" t="s">
        <v>896</v>
      </c>
      <c r="C36" s="247">
        <v>9</v>
      </c>
    </row>
    <row r="37" spans="1:3" ht="14.5">
      <c r="A37" s="245">
        <v>36</v>
      </c>
      <c r="B37" s="249" t="s">
        <v>897</v>
      </c>
      <c r="C37" s="247">
        <v>23</v>
      </c>
    </row>
    <row r="38" spans="1:3" ht="14.5">
      <c r="A38" s="245">
        <v>37</v>
      </c>
      <c r="B38" s="249" t="s">
        <v>898</v>
      </c>
      <c r="C38" s="247">
        <v>2</v>
      </c>
    </row>
    <row r="39" spans="1:3" ht="14.5">
      <c r="A39" s="245">
        <v>38</v>
      </c>
      <c r="B39" s="249" t="s">
        <v>899</v>
      </c>
      <c r="C39" s="247">
        <v>2</v>
      </c>
    </row>
    <row r="40" spans="1:3" ht="14.5">
      <c r="A40" s="245">
        <v>39</v>
      </c>
      <c r="B40" s="249" t="s">
        <v>900</v>
      </c>
      <c r="C40" s="247">
        <v>18</v>
      </c>
    </row>
    <row r="41" spans="1:3" ht="14.5">
      <c r="A41" s="245">
        <v>40</v>
      </c>
      <c r="B41" s="249" t="s">
        <v>901</v>
      </c>
      <c r="C41" s="247">
        <v>0</v>
      </c>
    </row>
    <row r="42" spans="1:3" ht="14.5">
      <c r="A42" s="245">
        <v>41</v>
      </c>
      <c r="B42" s="249" t="s">
        <v>902</v>
      </c>
      <c r="C42" s="247">
        <v>0</v>
      </c>
    </row>
    <row r="43" spans="1:3" ht="14.5">
      <c r="A43" s="245">
        <v>42</v>
      </c>
      <c r="B43" s="249" t="s">
        <v>903</v>
      </c>
      <c r="C43" s="247">
        <v>5</v>
      </c>
    </row>
    <row r="44" spans="1:3" ht="14.5">
      <c r="A44" s="245">
        <v>43</v>
      </c>
      <c r="B44" s="250" t="s">
        <v>904</v>
      </c>
      <c r="C44" s="247">
        <v>40</v>
      </c>
    </row>
    <row r="45" spans="1:3" ht="14.5">
      <c r="A45" s="245">
        <v>44</v>
      </c>
      <c r="B45" s="250" t="s">
        <v>905</v>
      </c>
      <c r="C45" s="247">
        <v>0</v>
      </c>
    </row>
    <row r="46" spans="1:3" ht="14.5">
      <c r="A46" s="245">
        <v>45</v>
      </c>
      <c r="B46" s="250" t="s">
        <v>906</v>
      </c>
      <c r="C46" s="247">
        <v>0</v>
      </c>
    </row>
    <row r="47" spans="1:3" ht="14.5">
      <c r="A47" s="245">
        <v>46</v>
      </c>
      <c r="B47" s="250" t="s">
        <v>907</v>
      </c>
      <c r="C47" s="247">
        <v>0</v>
      </c>
    </row>
    <row r="48" spans="1:3" ht="14.5">
      <c r="A48" s="245">
        <v>47</v>
      </c>
      <c r="B48" s="250" t="s">
        <v>908</v>
      </c>
      <c r="C48" s="247">
        <v>0</v>
      </c>
    </row>
    <row r="49" spans="1:3" ht="14.5">
      <c r="A49" s="245">
        <v>48</v>
      </c>
      <c r="B49" s="250" t="s">
        <v>909</v>
      </c>
      <c r="C49" s="247">
        <v>0</v>
      </c>
    </row>
    <row r="50" spans="1:3" ht="14.5">
      <c r="A50" s="245">
        <v>49</v>
      </c>
      <c r="B50" s="250" t="s">
        <v>910</v>
      </c>
      <c r="C50" s="247">
        <v>2</v>
      </c>
    </row>
    <row r="51" spans="1:3" ht="14.5">
      <c r="A51" s="245">
        <v>50</v>
      </c>
      <c r="B51" s="250" t="s">
        <v>911</v>
      </c>
      <c r="C51" s="247">
        <v>4</v>
      </c>
    </row>
    <row r="52" spans="1:3" ht="14.5">
      <c r="A52" s="248">
        <v>51</v>
      </c>
      <c r="B52" s="250" t="s">
        <v>912</v>
      </c>
      <c r="C52" s="247">
        <v>0</v>
      </c>
    </row>
    <row r="53" spans="1:3" ht="14.5">
      <c r="A53" s="245">
        <v>52</v>
      </c>
      <c r="B53" s="250" t="s">
        <v>913</v>
      </c>
      <c r="C53" s="247">
        <v>0</v>
      </c>
    </row>
    <row r="54" spans="1:3" ht="14.5">
      <c r="A54" s="251">
        <v>53</v>
      </c>
      <c r="B54" s="250" t="s">
        <v>914</v>
      </c>
      <c r="C54" s="247">
        <v>3</v>
      </c>
    </row>
    <row r="55" spans="1:3" ht="14.5">
      <c r="A55" s="245">
        <v>54</v>
      </c>
      <c r="B55" s="250" t="s">
        <v>915</v>
      </c>
      <c r="C55" s="247">
        <v>0</v>
      </c>
    </row>
    <row r="56" spans="1:3" ht="14.5">
      <c r="A56" s="245">
        <v>55</v>
      </c>
      <c r="B56" s="250" t="s">
        <v>916</v>
      </c>
      <c r="C56" s="247">
        <v>0</v>
      </c>
    </row>
    <row r="57" spans="1:3" ht="14.5">
      <c r="A57" s="245">
        <v>56</v>
      </c>
      <c r="B57" s="250" t="s">
        <v>917</v>
      </c>
      <c r="C57" s="247">
        <v>0</v>
      </c>
    </row>
    <row r="58" spans="1:3" ht="14.5">
      <c r="A58" s="245">
        <v>57</v>
      </c>
      <c r="B58" s="250" t="s">
        <v>918</v>
      </c>
      <c r="C58" s="247">
        <v>6</v>
      </c>
    </row>
    <row r="59" spans="1:3" ht="14.5">
      <c r="A59" s="245">
        <v>58</v>
      </c>
      <c r="B59" s="250" t="s">
        <v>919</v>
      </c>
      <c r="C59" s="247">
        <v>0</v>
      </c>
    </row>
    <row r="60" spans="1:3" ht="14.5">
      <c r="A60" s="245">
        <v>59</v>
      </c>
      <c r="B60" s="250" t="s">
        <v>920</v>
      </c>
      <c r="C60" s="247">
        <v>0</v>
      </c>
    </row>
    <row r="61" spans="1:3" ht="14.5">
      <c r="A61" s="245">
        <v>60</v>
      </c>
      <c r="B61" s="250" t="s">
        <v>921</v>
      </c>
      <c r="C61" s="247">
        <v>1</v>
      </c>
    </row>
    <row r="62" spans="1:3" ht="14.5">
      <c r="A62" s="245">
        <v>61</v>
      </c>
      <c r="B62" s="250" t="s">
        <v>922</v>
      </c>
      <c r="C62" s="247">
        <v>0</v>
      </c>
    </row>
    <row r="63" spans="1:3" ht="14.5">
      <c r="A63" s="245">
        <v>62</v>
      </c>
      <c r="B63" s="250" t="s">
        <v>923</v>
      </c>
      <c r="C63" s="247">
        <v>0</v>
      </c>
    </row>
    <row r="64" spans="1:3" ht="14.5">
      <c r="A64" s="245">
        <v>63</v>
      </c>
      <c r="B64" s="250" t="s">
        <v>924</v>
      </c>
      <c r="C64" s="247">
        <v>0</v>
      </c>
    </row>
    <row r="65" spans="1:3" ht="14.5">
      <c r="A65" s="245">
        <v>64</v>
      </c>
      <c r="B65" s="250" t="s">
        <v>925</v>
      </c>
      <c r="C65" s="247">
        <v>0</v>
      </c>
    </row>
    <row r="66" spans="1:3" ht="14.5">
      <c r="A66" s="245">
        <v>65</v>
      </c>
      <c r="B66" s="246" t="s">
        <v>926</v>
      </c>
      <c r="C66" s="247">
        <v>0</v>
      </c>
    </row>
    <row r="67" spans="1:3" ht="14.5">
      <c r="A67" s="245">
        <v>66</v>
      </c>
      <c r="B67" s="246" t="s">
        <v>927</v>
      </c>
      <c r="C67" s="247">
        <v>21</v>
      </c>
    </row>
    <row r="68" spans="1:3" ht="14.5">
      <c r="A68" s="245">
        <v>67</v>
      </c>
      <c r="B68" s="246" t="s">
        <v>928</v>
      </c>
      <c r="C68" s="247">
        <v>5</v>
      </c>
    </row>
    <row r="69" spans="1:3" ht="14.5">
      <c r="A69" s="245"/>
      <c r="B69" s="249" t="s">
        <v>929</v>
      </c>
      <c r="C69" s="247">
        <v>6</v>
      </c>
    </row>
    <row r="70" spans="1:3" ht="14.5">
      <c r="A70" s="245">
        <v>68</v>
      </c>
      <c r="B70" s="249" t="s">
        <v>930</v>
      </c>
      <c r="C70" s="247">
        <v>0</v>
      </c>
    </row>
    <row r="71" spans="1:3" ht="14.5">
      <c r="A71" s="245">
        <v>69</v>
      </c>
      <c r="B71" s="249" t="s">
        <v>931</v>
      </c>
      <c r="C71" s="247">
        <v>0</v>
      </c>
    </row>
    <row r="72" spans="1:3" ht="14.5">
      <c r="A72" s="245">
        <v>70</v>
      </c>
      <c r="B72" s="249" t="s">
        <v>932</v>
      </c>
      <c r="C72" s="247">
        <v>2</v>
      </c>
    </row>
    <row r="73" spans="1:3" ht="14.5">
      <c r="A73" s="245">
        <v>71</v>
      </c>
      <c r="B73" s="246" t="s">
        <v>153</v>
      </c>
      <c r="C73" s="247">
        <v>18</v>
      </c>
    </row>
    <row r="74" spans="1:3" ht="14.5">
      <c r="A74" s="245">
        <v>72</v>
      </c>
      <c r="B74" s="246" t="s">
        <v>175</v>
      </c>
      <c r="C74" s="247">
        <v>12</v>
      </c>
    </row>
    <row r="75" spans="1:3" ht="14.5">
      <c r="A75" s="245">
        <v>73</v>
      </c>
      <c r="B75" s="246" t="s">
        <v>933</v>
      </c>
      <c r="C75" s="247">
        <v>6</v>
      </c>
    </row>
    <row r="76" spans="1:3" ht="14.5">
      <c r="A76" s="245">
        <v>74</v>
      </c>
      <c r="B76" s="246" t="s">
        <v>934</v>
      </c>
      <c r="C76" s="247">
        <v>186</v>
      </c>
    </row>
    <row r="77" spans="1:3" ht="14.5">
      <c r="A77" s="245">
        <v>75</v>
      </c>
      <c r="B77" s="246" t="s">
        <v>935</v>
      </c>
      <c r="C77" s="247">
        <v>6</v>
      </c>
    </row>
    <row r="78" spans="1:3" ht="14.5">
      <c r="A78" s="245">
        <v>76</v>
      </c>
      <c r="B78" s="246" t="s">
        <v>936</v>
      </c>
      <c r="C78" s="247">
        <v>12</v>
      </c>
    </row>
    <row r="79" spans="1:3" ht="14.5">
      <c r="A79" s="245">
        <v>77</v>
      </c>
      <c r="B79" s="246" t="s">
        <v>937</v>
      </c>
      <c r="C79" s="247">
        <v>6</v>
      </c>
    </row>
    <row r="80" spans="1:3" ht="14.5">
      <c r="A80" s="245">
        <v>78</v>
      </c>
      <c r="B80" s="246" t="s">
        <v>938</v>
      </c>
      <c r="C80" s="247">
        <v>23</v>
      </c>
    </row>
    <row r="81" spans="1:3" ht="14.5">
      <c r="A81" s="245">
        <v>79</v>
      </c>
      <c r="B81" s="246" t="s">
        <v>939</v>
      </c>
      <c r="C81" s="247">
        <v>0</v>
      </c>
    </row>
    <row r="82" spans="1:3" ht="14.5">
      <c r="A82" s="245">
        <v>80</v>
      </c>
      <c r="B82" s="246" t="s">
        <v>940</v>
      </c>
      <c r="C82" s="247">
        <v>0</v>
      </c>
    </row>
    <row r="83" spans="1:3" ht="14.5">
      <c r="A83" s="245">
        <v>81</v>
      </c>
      <c r="B83" s="246" t="s">
        <v>941</v>
      </c>
      <c r="C83" s="247">
        <v>1</v>
      </c>
    </row>
    <row r="84" spans="1:3" ht="14.5">
      <c r="A84" s="245">
        <v>82</v>
      </c>
      <c r="B84" s="246" t="s">
        <v>942</v>
      </c>
      <c r="C84" s="247">
        <v>31</v>
      </c>
    </row>
    <row r="85" spans="1:3" ht="14.5">
      <c r="A85" s="245">
        <v>83</v>
      </c>
      <c r="B85" s="246" t="s">
        <v>943</v>
      </c>
      <c r="C85" s="247">
        <v>127</v>
      </c>
    </row>
    <row r="86" spans="1:3" ht="14.5">
      <c r="A86" s="245">
        <v>84</v>
      </c>
      <c r="B86" s="246" t="s">
        <v>944</v>
      </c>
      <c r="C86" s="247">
        <v>63</v>
      </c>
    </row>
    <row r="87" spans="1:3" ht="14.5">
      <c r="A87" s="245">
        <v>85</v>
      </c>
      <c r="B87" s="246" t="s">
        <v>945</v>
      </c>
      <c r="C87" s="247">
        <v>27</v>
      </c>
    </row>
    <row r="88" spans="1:3" ht="14.5">
      <c r="A88" s="245">
        <v>86</v>
      </c>
      <c r="B88" s="246" t="s">
        <v>946</v>
      </c>
      <c r="C88" s="247">
        <v>8</v>
      </c>
    </row>
    <row r="89" spans="1:3" ht="14.5">
      <c r="A89" s="245">
        <v>87</v>
      </c>
      <c r="B89" s="246" t="s">
        <v>947</v>
      </c>
      <c r="C89" s="247">
        <v>5</v>
      </c>
    </row>
    <row r="90" spans="1:3" ht="14.5">
      <c r="A90" s="245">
        <v>88</v>
      </c>
      <c r="B90" s="246" t="s">
        <v>948</v>
      </c>
      <c r="C90" s="247">
        <v>40</v>
      </c>
    </row>
    <row r="91" spans="1:3" ht="14.5">
      <c r="A91" s="245">
        <v>89</v>
      </c>
      <c r="B91" s="246" t="s">
        <v>949</v>
      </c>
      <c r="C91" s="247">
        <v>20</v>
      </c>
    </row>
    <row r="92" spans="1:3" ht="14.5">
      <c r="A92" s="245">
        <v>90</v>
      </c>
      <c r="B92" s="246" t="s">
        <v>950</v>
      </c>
      <c r="C92" s="247">
        <v>21</v>
      </c>
    </row>
    <row r="93" spans="1:3" ht="14.5">
      <c r="A93" s="245">
        <v>90</v>
      </c>
      <c r="B93" s="246" t="s">
        <v>951</v>
      </c>
      <c r="C93" s="247">
        <v>33</v>
      </c>
    </row>
    <row r="94" spans="1:3" ht="14.5">
      <c r="A94" s="245">
        <v>90</v>
      </c>
      <c r="B94" s="246" t="s">
        <v>952</v>
      </c>
      <c r="C94" s="247">
        <v>25</v>
      </c>
    </row>
    <row r="95" spans="1:3" ht="14.5">
      <c r="A95" s="245">
        <v>91</v>
      </c>
      <c r="B95" s="246" t="s">
        <v>953</v>
      </c>
      <c r="C95" s="247">
        <v>14</v>
      </c>
    </row>
    <row r="96" spans="1:3" ht="14.5">
      <c r="A96" s="245">
        <v>92</v>
      </c>
      <c r="B96" s="246" t="s">
        <v>954</v>
      </c>
      <c r="C96" s="247">
        <v>12</v>
      </c>
    </row>
    <row r="97" spans="1:3" ht="14.5">
      <c r="A97" s="245">
        <v>93</v>
      </c>
      <c r="B97" s="246" t="s">
        <v>955</v>
      </c>
      <c r="C97" s="247">
        <v>25</v>
      </c>
    </row>
    <row r="98" spans="1:3" ht="14.5">
      <c r="A98" s="245">
        <v>0</v>
      </c>
      <c r="B98" s="246" t="s">
        <v>956</v>
      </c>
      <c r="C98" s="247">
        <v>35</v>
      </c>
    </row>
    <row r="99" spans="1:3" ht="14.5">
      <c r="A99" s="245">
        <v>95</v>
      </c>
      <c r="B99" s="246" t="s">
        <v>957</v>
      </c>
      <c r="C99" s="247">
        <v>0</v>
      </c>
    </row>
    <row r="100" spans="1:3" ht="14.5">
      <c r="A100" s="245">
        <v>96</v>
      </c>
      <c r="B100" s="246" t="s">
        <v>958</v>
      </c>
      <c r="C100" s="247">
        <v>0</v>
      </c>
    </row>
    <row r="101" spans="1:3" ht="14.5">
      <c r="A101" s="245">
        <v>97</v>
      </c>
      <c r="B101" s="246" t="s">
        <v>959</v>
      </c>
      <c r="C101" s="247">
        <v>0</v>
      </c>
    </row>
    <row r="102" spans="1:3" ht="14.5">
      <c r="A102" s="245">
        <v>97</v>
      </c>
      <c r="B102" s="246" t="s">
        <v>960</v>
      </c>
      <c r="C102" s="247">
        <v>19</v>
      </c>
    </row>
    <row r="103" spans="1:3" ht="14.5">
      <c r="A103" s="245">
        <v>98</v>
      </c>
      <c r="B103" s="246" t="s">
        <v>961</v>
      </c>
      <c r="C103" s="247">
        <v>1</v>
      </c>
    </row>
    <row r="104" spans="1:3" ht="14.5">
      <c r="A104" s="245">
        <v>99</v>
      </c>
      <c r="B104" s="246" t="s">
        <v>962</v>
      </c>
      <c r="C104" s="247">
        <v>76</v>
      </c>
    </row>
    <row r="105" spans="1:3" ht="14.5">
      <c r="A105" s="245">
        <v>100</v>
      </c>
      <c r="B105" s="246" t="s">
        <v>963</v>
      </c>
      <c r="C105" s="247">
        <v>0</v>
      </c>
    </row>
    <row r="106" spans="1:3" ht="14.5">
      <c r="A106" s="245">
        <v>101</v>
      </c>
      <c r="B106" s="246" t="s">
        <v>964</v>
      </c>
      <c r="C106" s="247">
        <v>0</v>
      </c>
    </row>
    <row r="107" spans="1:3" ht="14.5">
      <c r="A107" s="245">
        <v>102</v>
      </c>
      <c r="B107" s="246" t="s">
        <v>965</v>
      </c>
      <c r="C107" s="247">
        <v>0</v>
      </c>
    </row>
    <row r="108" spans="1:3" ht="14.5">
      <c r="A108" s="245">
        <v>103</v>
      </c>
      <c r="B108" s="249" t="s">
        <v>966</v>
      </c>
      <c r="C108" s="247">
        <v>0</v>
      </c>
    </row>
    <row r="109" spans="1:3" ht="14.5">
      <c r="A109" s="245">
        <v>104</v>
      </c>
      <c r="B109" s="249" t="s">
        <v>967</v>
      </c>
      <c r="C109" s="247">
        <v>0</v>
      </c>
    </row>
    <row r="110" spans="1:3" ht="14.5">
      <c r="A110" s="245">
        <v>105</v>
      </c>
      <c r="B110" s="249" t="s">
        <v>968</v>
      </c>
      <c r="C110" s="247">
        <v>0</v>
      </c>
    </row>
    <row r="111" spans="1:3" ht="14.5">
      <c r="A111" s="245">
        <v>106</v>
      </c>
      <c r="B111" s="249" t="s">
        <v>969</v>
      </c>
      <c r="C111" s="247">
        <v>3</v>
      </c>
    </row>
    <row r="112" spans="1:3" ht="14.5">
      <c r="A112" s="245">
        <v>107</v>
      </c>
      <c r="B112" s="249" t="s">
        <v>970</v>
      </c>
      <c r="C112" s="247">
        <v>21</v>
      </c>
    </row>
    <row r="113" spans="1:3" ht="14.5">
      <c r="A113" s="245">
        <v>108</v>
      </c>
      <c r="B113" s="249" t="s">
        <v>971</v>
      </c>
      <c r="C113" s="247">
        <v>0</v>
      </c>
    </row>
    <row r="114" spans="1:3" ht="14.5">
      <c r="A114" s="245">
        <v>109</v>
      </c>
      <c r="B114" s="249" t="s">
        <v>972</v>
      </c>
      <c r="C114" s="247">
        <v>0</v>
      </c>
    </row>
    <row r="115" spans="1:3" ht="14.5">
      <c r="A115" s="245">
        <v>110</v>
      </c>
      <c r="B115" s="249" t="s">
        <v>973</v>
      </c>
      <c r="C115" s="247">
        <v>0</v>
      </c>
    </row>
    <row r="116" spans="1:3" ht="14.5">
      <c r="A116" s="245">
        <v>111</v>
      </c>
      <c r="B116" s="249" t="s">
        <v>974</v>
      </c>
      <c r="C116" s="247">
        <v>0</v>
      </c>
    </row>
    <row r="117" spans="1:3" ht="14.5">
      <c r="A117" s="245">
        <v>112</v>
      </c>
      <c r="B117" s="249" t="s">
        <v>975</v>
      </c>
      <c r="C117" s="247">
        <v>0</v>
      </c>
    </row>
    <row r="118" spans="1:3" ht="14.5">
      <c r="A118" s="245">
        <v>113</v>
      </c>
      <c r="B118" s="249" t="s">
        <v>976</v>
      </c>
      <c r="C118" s="247">
        <v>0</v>
      </c>
    </row>
    <row r="119" spans="1:3" ht="14.5">
      <c r="A119" s="245">
        <v>114</v>
      </c>
      <c r="B119" s="249" t="s">
        <v>977</v>
      </c>
      <c r="C119" s="247">
        <v>0</v>
      </c>
    </row>
    <row r="120" spans="1:3" ht="14.5">
      <c r="A120" s="245">
        <v>115</v>
      </c>
      <c r="B120" s="249" t="s">
        <v>978</v>
      </c>
      <c r="C120" s="247">
        <v>0</v>
      </c>
    </row>
    <row r="121" spans="1:3" ht="14.5">
      <c r="A121" s="245">
        <v>116</v>
      </c>
      <c r="B121" s="249" t="s">
        <v>979</v>
      </c>
      <c r="C121" s="247">
        <v>0</v>
      </c>
    </row>
    <row r="122" spans="1:3" ht="14.5">
      <c r="A122" s="245">
        <v>117</v>
      </c>
      <c r="B122" s="249" t="s">
        <v>980</v>
      </c>
      <c r="C122" s="247">
        <v>0</v>
      </c>
    </row>
    <row r="123" spans="1:3" ht="14.5">
      <c r="A123" s="245">
        <v>118</v>
      </c>
      <c r="B123" s="249" t="s">
        <v>981</v>
      </c>
      <c r="C123" s="247">
        <v>0</v>
      </c>
    </row>
    <row r="124" spans="1:3" ht="14.5">
      <c r="A124" s="245">
        <v>119</v>
      </c>
      <c r="B124" s="249" t="s">
        <v>982</v>
      </c>
      <c r="C124" s="247">
        <v>0</v>
      </c>
    </row>
    <row r="125" spans="1:3" ht="14.5">
      <c r="A125" s="248">
        <v>120</v>
      </c>
      <c r="B125" s="249" t="s">
        <v>983</v>
      </c>
      <c r="C125" s="247">
        <v>0</v>
      </c>
    </row>
    <row r="126" spans="1:3" ht="14.5">
      <c r="A126" s="252"/>
      <c r="B126" s="253"/>
      <c r="C126" s="254">
        <f t="shared" ref="C126" si="0">SUM(C3:C125)</f>
        <v>1209</v>
      </c>
    </row>
  </sheetData>
  <mergeCells count="3">
    <mergeCell ref="C1:C2"/>
    <mergeCell ref="A1:A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EDB8-D8A7-4094-AC53-A6DD8F90053F}">
  <dimension ref="A1:G525"/>
  <sheetViews>
    <sheetView zoomScale="85" zoomScaleNormal="85" workbookViewId="0">
      <selection activeCell="F23" sqref="F23"/>
    </sheetView>
  </sheetViews>
  <sheetFormatPr defaultColWidth="6.1796875" defaultRowHeight="12.5"/>
  <cols>
    <col min="1" max="1" width="16.26953125" style="9" bestFit="1" customWidth="1"/>
    <col min="2" max="2" width="14.54296875" style="9" bestFit="1" customWidth="1"/>
    <col min="3" max="3" width="16.1796875" style="9" bestFit="1" customWidth="1"/>
    <col min="4" max="4" width="55.54296875" style="9" bestFit="1" customWidth="1"/>
    <col min="5" max="5" width="20.81640625" style="77" bestFit="1" customWidth="1"/>
    <col min="6" max="6" width="18.54296875" style="77" bestFit="1" customWidth="1"/>
    <col min="7" max="7" width="17.54296875" style="77" bestFit="1" customWidth="1"/>
    <col min="8" max="8" width="4.453125" style="9" bestFit="1" customWidth="1"/>
    <col min="9" max="9" width="12.453125" style="9" bestFit="1" customWidth="1"/>
    <col min="10" max="16384" width="6.1796875" style="9"/>
  </cols>
  <sheetData>
    <row r="1" spans="1:7" s="4" customFormat="1" ht="29.15" customHeight="1">
      <c r="A1" s="96" t="s">
        <v>0</v>
      </c>
      <c r="B1" s="96" t="s">
        <v>1</v>
      </c>
      <c r="C1" s="97" t="s">
        <v>2</v>
      </c>
      <c r="D1" s="97" t="s">
        <v>3</v>
      </c>
      <c r="E1" s="98" t="s">
        <v>593</v>
      </c>
    </row>
    <row r="2" spans="1:7">
      <c r="A2" s="5" t="s">
        <v>6</v>
      </c>
      <c r="B2" s="5" t="s">
        <v>7</v>
      </c>
      <c r="C2" s="7">
        <v>100011</v>
      </c>
      <c r="D2" s="19" t="s">
        <v>594</v>
      </c>
      <c r="E2" s="8">
        <v>9</v>
      </c>
      <c r="F2" s="9"/>
      <c r="G2" s="9"/>
    </row>
    <row r="3" spans="1:7">
      <c r="A3" s="5" t="s">
        <v>6</v>
      </c>
      <c r="B3" s="5" t="s">
        <v>7</v>
      </c>
      <c r="C3" s="7">
        <v>100016</v>
      </c>
      <c r="D3" s="19" t="s">
        <v>8</v>
      </c>
      <c r="E3" s="8">
        <v>105</v>
      </c>
      <c r="F3" s="9"/>
      <c r="G3" s="9"/>
    </row>
    <row r="4" spans="1:7">
      <c r="A4" s="11" t="s">
        <v>6</v>
      </c>
      <c r="B4" s="5" t="s">
        <v>7</v>
      </c>
      <c r="C4" s="7">
        <v>100017</v>
      </c>
      <c r="D4" s="19" t="s">
        <v>595</v>
      </c>
      <c r="E4" s="8">
        <v>40</v>
      </c>
      <c r="F4" s="9"/>
      <c r="G4" s="9"/>
    </row>
    <row r="5" spans="1:7">
      <c r="A5" s="11" t="s">
        <v>6</v>
      </c>
      <c r="B5" s="11" t="s">
        <v>7</v>
      </c>
      <c r="C5" s="113">
        <v>100021</v>
      </c>
      <c r="D5" s="7" t="s">
        <v>596</v>
      </c>
      <c r="E5" s="8"/>
      <c r="F5" s="12"/>
      <c r="G5" s="12"/>
    </row>
    <row r="6" spans="1:7">
      <c r="A6" s="5" t="s">
        <v>6</v>
      </c>
      <c r="B6" s="5" t="s">
        <v>7</v>
      </c>
      <c r="C6" s="7">
        <v>100030</v>
      </c>
      <c r="D6" s="19" t="s">
        <v>168</v>
      </c>
      <c r="E6" s="8">
        <v>50</v>
      </c>
      <c r="F6" s="12"/>
      <c r="G6" s="12"/>
    </row>
    <row r="7" spans="1:7">
      <c r="A7" s="5" t="s">
        <v>6</v>
      </c>
      <c r="B7" s="5" t="s">
        <v>7</v>
      </c>
      <c r="C7" s="7">
        <v>100031</v>
      </c>
      <c r="D7" s="19" t="s">
        <v>545</v>
      </c>
      <c r="E7" s="8">
        <v>32</v>
      </c>
      <c r="F7" s="12"/>
      <c r="G7" s="12"/>
    </row>
    <row r="8" spans="1:7">
      <c r="A8" s="5" t="s">
        <v>6</v>
      </c>
      <c r="B8" s="5" t="s">
        <v>7</v>
      </c>
      <c r="C8" s="7">
        <v>100032</v>
      </c>
      <c r="D8" s="19" t="s">
        <v>9</v>
      </c>
      <c r="E8" s="8">
        <v>61</v>
      </c>
      <c r="F8" s="12"/>
      <c r="G8" s="12"/>
    </row>
    <row r="9" spans="1:7">
      <c r="A9" s="11" t="s">
        <v>6</v>
      </c>
      <c r="B9" s="5" t="s">
        <v>7</v>
      </c>
      <c r="C9" s="7">
        <v>100033</v>
      </c>
      <c r="D9" s="19" t="s">
        <v>10</v>
      </c>
      <c r="E9" s="8">
        <v>96</v>
      </c>
      <c r="F9" s="12"/>
      <c r="G9" s="12"/>
    </row>
    <row r="10" spans="1:7">
      <c r="A10" s="11" t="s">
        <v>6</v>
      </c>
      <c r="B10" s="5" t="s">
        <v>7</v>
      </c>
      <c r="C10" s="7">
        <v>100034</v>
      </c>
      <c r="D10" s="19" t="s">
        <v>165</v>
      </c>
      <c r="E10" s="8">
        <v>37</v>
      </c>
      <c r="F10" s="12"/>
      <c r="G10" s="12"/>
    </row>
    <row r="11" spans="1:7">
      <c r="A11" s="11" t="s">
        <v>6</v>
      </c>
      <c r="B11" s="5" t="s">
        <v>7</v>
      </c>
      <c r="C11" s="7">
        <v>100035</v>
      </c>
      <c r="D11" s="19" t="s">
        <v>166</v>
      </c>
      <c r="E11" s="8">
        <v>52</v>
      </c>
      <c r="F11" s="12"/>
      <c r="G11" s="12"/>
    </row>
    <row r="12" spans="1:7">
      <c r="A12" s="11" t="s">
        <v>6</v>
      </c>
      <c r="B12" s="5" t="s">
        <v>7</v>
      </c>
      <c r="C12" s="7">
        <v>100037</v>
      </c>
      <c r="D12" s="19" t="s">
        <v>167</v>
      </c>
      <c r="E12" s="8">
        <v>101</v>
      </c>
      <c r="F12" s="12"/>
      <c r="G12" s="12"/>
    </row>
    <row r="13" spans="1:7">
      <c r="A13" s="11" t="s">
        <v>6</v>
      </c>
      <c r="B13" s="5" t="s">
        <v>7</v>
      </c>
      <c r="C13" s="7">
        <v>100038</v>
      </c>
      <c r="D13" s="19" t="s">
        <v>597</v>
      </c>
      <c r="E13" s="8"/>
      <c r="F13" s="12"/>
      <c r="G13" s="12"/>
    </row>
    <row r="14" spans="1:7">
      <c r="A14" s="11" t="s">
        <v>6</v>
      </c>
      <c r="B14" s="11" t="s">
        <v>7</v>
      </c>
      <c r="C14" s="99">
        <v>100041</v>
      </c>
      <c r="D14" s="100" t="s">
        <v>163</v>
      </c>
      <c r="E14" s="8">
        <v>12</v>
      </c>
      <c r="F14" s="12"/>
      <c r="G14" s="12"/>
    </row>
    <row r="15" spans="1:7">
      <c r="A15" s="5" t="s">
        <v>6</v>
      </c>
      <c r="B15" s="5" t="s">
        <v>7</v>
      </c>
      <c r="C15" s="7">
        <v>100043</v>
      </c>
      <c r="D15" s="19" t="s">
        <v>162</v>
      </c>
      <c r="E15" s="8"/>
      <c r="F15" s="9"/>
      <c r="G15" s="9"/>
    </row>
    <row r="16" spans="1:7">
      <c r="A16" s="5" t="s">
        <v>6</v>
      </c>
      <c r="B16" s="5" t="s">
        <v>7</v>
      </c>
      <c r="C16" s="7">
        <v>100048</v>
      </c>
      <c r="D16" s="19" t="s">
        <v>19</v>
      </c>
      <c r="E16" s="8">
        <v>30</v>
      </c>
      <c r="F16" s="9"/>
      <c r="G16" s="9"/>
    </row>
    <row r="17" spans="1:7">
      <c r="A17" s="5" t="s">
        <v>6</v>
      </c>
      <c r="B17" s="5" t="s">
        <v>7</v>
      </c>
      <c r="C17" s="7">
        <v>100050</v>
      </c>
      <c r="D17" s="19" t="s">
        <v>15</v>
      </c>
      <c r="E17" s="8">
        <v>41</v>
      </c>
      <c r="F17" s="9"/>
      <c r="G17" s="9"/>
    </row>
    <row r="18" spans="1:7">
      <c r="A18" s="5" t="s">
        <v>6</v>
      </c>
      <c r="B18" s="5" t="s">
        <v>7</v>
      </c>
      <c r="C18" s="7">
        <v>100052</v>
      </c>
      <c r="D18" s="19" t="s">
        <v>16</v>
      </c>
      <c r="E18" s="8">
        <v>50</v>
      </c>
      <c r="F18" s="9"/>
      <c r="G18" s="9"/>
    </row>
    <row r="19" spans="1:7">
      <c r="A19" s="11" t="s">
        <v>6</v>
      </c>
      <c r="B19" s="11" t="s">
        <v>7</v>
      </c>
      <c r="C19" s="113">
        <v>100053</v>
      </c>
      <c r="D19" s="7" t="s">
        <v>271</v>
      </c>
      <c r="E19" s="8"/>
      <c r="F19" s="9"/>
      <c r="G19" s="9"/>
    </row>
    <row r="20" spans="1:7" s="18" customFormat="1">
      <c r="A20" s="5" t="s">
        <v>6</v>
      </c>
      <c r="B20" s="5" t="s">
        <v>7</v>
      </c>
      <c r="C20" s="7">
        <v>100068</v>
      </c>
      <c r="D20" s="19" t="s">
        <v>598</v>
      </c>
      <c r="E20" s="8"/>
    </row>
    <row r="21" spans="1:7">
      <c r="A21" s="11" t="s">
        <v>6</v>
      </c>
      <c r="B21" s="5" t="s">
        <v>7</v>
      </c>
      <c r="C21" s="7">
        <v>100080</v>
      </c>
      <c r="D21" s="19" t="s">
        <v>17</v>
      </c>
      <c r="E21" s="8"/>
      <c r="F21" s="9"/>
      <c r="G21" s="9"/>
    </row>
    <row r="22" spans="1:7">
      <c r="A22" s="11" t="s">
        <v>6</v>
      </c>
      <c r="B22" s="5" t="s">
        <v>7</v>
      </c>
      <c r="C22" s="7">
        <v>100093</v>
      </c>
      <c r="D22" s="19" t="s">
        <v>599</v>
      </c>
      <c r="E22" s="8"/>
      <c r="F22" s="9"/>
      <c r="G22" s="9"/>
    </row>
    <row r="23" spans="1:7">
      <c r="A23" s="5" t="s">
        <v>6</v>
      </c>
      <c r="B23" s="5" t="s">
        <v>7</v>
      </c>
      <c r="C23" s="7">
        <v>100126</v>
      </c>
      <c r="D23" s="19" t="s">
        <v>331</v>
      </c>
      <c r="E23" s="8"/>
      <c r="F23" s="9"/>
      <c r="G23" s="9"/>
    </row>
    <row r="24" spans="1:7">
      <c r="A24" s="5" t="s">
        <v>6</v>
      </c>
      <c r="B24" s="5" t="s">
        <v>7</v>
      </c>
      <c r="C24" s="7">
        <v>100140</v>
      </c>
      <c r="D24" s="19" t="s">
        <v>600</v>
      </c>
      <c r="E24" s="8"/>
      <c r="F24" s="9"/>
      <c r="G24" s="9"/>
    </row>
    <row r="25" spans="1:7" ht="12.65" customHeight="1">
      <c r="A25" s="11" t="s">
        <v>6</v>
      </c>
      <c r="B25" s="11" t="s">
        <v>7</v>
      </c>
      <c r="C25" s="7">
        <v>100141</v>
      </c>
      <c r="D25" s="19" t="s">
        <v>601</v>
      </c>
      <c r="E25" s="8"/>
      <c r="F25" s="9"/>
      <c r="G25" s="9"/>
    </row>
    <row r="26" spans="1:7">
      <c r="A26" s="5" t="s">
        <v>6</v>
      </c>
      <c r="B26" s="5" t="s">
        <v>7</v>
      </c>
      <c r="C26" s="7">
        <v>100142</v>
      </c>
      <c r="D26" s="19" t="s">
        <v>256</v>
      </c>
      <c r="E26" s="8">
        <v>37</v>
      </c>
      <c r="F26" s="9"/>
      <c r="G26" s="9"/>
    </row>
    <row r="27" spans="1:7">
      <c r="A27" s="11" t="s">
        <v>6</v>
      </c>
      <c r="B27" s="11" t="s">
        <v>7</v>
      </c>
      <c r="C27" s="7">
        <v>100150</v>
      </c>
      <c r="D27" s="19" t="s">
        <v>602</v>
      </c>
      <c r="E27" s="8"/>
      <c r="F27" s="9"/>
      <c r="G27" s="9"/>
    </row>
    <row r="28" spans="1:7">
      <c r="A28" s="11" t="s">
        <v>6</v>
      </c>
      <c r="B28" s="5" t="s">
        <v>7</v>
      </c>
      <c r="C28" s="7">
        <v>100153</v>
      </c>
      <c r="D28" s="19" t="s">
        <v>273</v>
      </c>
      <c r="E28" s="8">
        <v>7</v>
      </c>
      <c r="F28" s="9"/>
      <c r="G28" s="9"/>
    </row>
    <row r="29" spans="1:7">
      <c r="A29" s="11" t="s">
        <v>6</v>
      </c>
      <c r="B29" s="5" t="s">
        <v>7</v>
      </c>
      <c r="C29" s="7">
        <v>100184</v>
      </c>
      <c r="D29" s="19" t="s">
        <v>603</v>
      </c>
      <c r="E29" s="8"/>
      <c r="F29" s="9"/>
      <c r="G29" s="9"/>
    </row>
    <row r="30" spans="1:7">
      <c r="A30" s="5" t="s">
        <v>6</v>
      </c>
      <c r="B30" s="5" t="s">
        <v>7</v>
      </c>
      <c r="C30" s="7">
        <v>100188</v>
      </c>
      <c r="D30" s="19" t="s">
        <v>604</v>
      </c>
      <c r="E30" s="8"/>
      <c r="F30" s="9"/>
      <c r="G30" s="9"/>
    </row>
    <row r="31" spans="1:7" ht="12.65" customHeight="1">
      <c r="A31" s="11" t="s">
        <v>6</v>
      </c>
      <c r="B31" s="5" t="s">
        <v>7</v>
      </c>
      <c r="C31" s="7">
        <v>100199</v>
      </c>
      <c r="D31" s="19" t="s">
        <v>605</v>
      </c>
      <c r="E31" s="8"/>
      <c r="F31" s="9"/>
      <c r="G31" s="9"/>
    </row>
    <row r="32" spans="1:7">
      <c r="A32" s="11" t="s">
        <v>6</v>
      </c>
      <c r="B32" s="5" t="s">
        <v>7</v>
      </c>
      <c r="C32" s="7">
        <v>100202</v>
      </c>
      <c r="D32" s="19" t="s">
        <v>606</v>
      </c>
      <c r="E32" s="8"/>
      <c r="F32" s="9"/>
      <c r="G32" s="9"/>
    </row>
    <row r="33" spans="1:7">
      <c r="A33" s="11" t="s">
        <v>6</v>
      </c>
      <c r="B33" s="5" t="s">
        <v>7</v>
      </c>
      <c r="C33" s="7">
        <v>100205</v>
      </c>
      <c r="D33" s="19" t="s">
        <v>22</v>
      </c>
      <c r="E33" s="8"/>
      <c r="F33" s="9"/>
      <c r="G33" s="9"/>
    </row>
    <row r="34" spans="1:7" ht="12.65" customHeight="1">
      <c r="A34" s="11" t="s">
        <v>6</v>
      </c>
      <c r="B34" s="5" t="s">
        <v>7</v>
      </c>
      <c r="C34" s="7">
        <v>100207</v>
      </c>
      <c r="D34" s="19" t="s">
        <v>24</v>
      </c>
      <c r="E34" s="8">
        <v>67</v>
      </c>
      <c r="F34" s="9"/>
      <c r="G34" s="9"/>
    </row>
    <row r="35" spans="1:7" ht="12.65" customHeight="1">
      <c r="A35" s="11" t="s">
        <v>6</v>
      </c>
      <c r="B35" s="5" t="s">
        <v>7</v>
      </c>
      <c r="C35" s="7">
        <v>100213</v>
      </c>
      <c r="D35" s="19" t="s">
        <v>587</v>
      </c>
      <c r="E35" s="8">
        <v>45</v>
      </c>
      <c r="F35" s="9"/>
      <c r="G35" s="9"/>
    </row>
    <row r="36" spans="1:7">
      <c r="A36" s="11" t="s">
        <v>6</v>
      </c>
      <c r="B36" s="5" t="s">
        <v>7</v>
      </c>
      <c r="C36" s="7">
        <v>100214</v>
      </c>
      <c r="D36" s="19" t="s">
        <v>264</v>
      </c>
      <c r="E36" s="8">
        <v>48</v>
      </c>
      <c r="F36" s="9"/>
      <c r="G36" s="9"/>
    </row>
    <row r="37" spans="1:7">
      <c r="A37" s="11" t="s">
        <v>6</v>
      </c>
      <c r="B37" s="5" t="s">
        <v>7</v>
      </c>
      <c r="C37" s="7">
        <v>100215</v>
      </c>
      <c r="D37" s="19" t="s">
        <v>253</v>
      </c>
      <c r="E37" s="8"/>
      <c r="F37" s="9"/>
      <c r="G37" s="9"/>
    </row>
    <row r="38" spans="1:7">
      <c r="A38" s="11" t="s">
        <v>6</v>
      </c>
      <c r="B38" s="5" t="s">
        <v>7</v>
      </c>
      <c r="C38" s="7">
        <v>100216</v>
      </c>
      <c r="D38" s="19" t="s">
        <v>254</v>
      </c>
      <c r="E38" s="8">
        <v>39</v>
      </c>
      <c r="F38" s="9"/>
      <c r="G38" s="9"/>
    </row>
    <row r="39" spans="1:7" ht="12.65" customHeight="1">
      <c r="A39" s="11" t="s">
        <v>6</v>
      </c>
      <c r="B39" s="5" t="s">
        <v>7</v>
      </c>
      <c r="C39" s="7">
        <v>100217</v>
      </c>
      <c r="D39" s="19" t="s">
        <v>607</v>
      </c>
      <c r="E39" s="8">
        <v>43</v>
      </c>
      <c r="F39" s="9"/>
      <c r="G39" s="9"/>
    </row>
    <row r="40" spans="1:7" ht="12.65" customHeight="1">
      <c r="A40" s="11" t="s">
        <v>6</v>
      </c>
      <c r="B40" s="5" t="s">
        <v>7</v>
      </c>
      <c r="C40" s="7">
        <v>100223</v>
      </c>
      <c r="D40" s="19" t="s">
        <v>255</v>
      </c>
      <c r="E40" s="8">
        <v>21</v>
      </c>
      <c r="F40" s="9"/>
      <c r="G40" s="9"/>
    </row>
    <row r="41" spans="1:7">
      <c r="A41" s="11" t="s">
        <v>6</v>
      </c>
      <c r="B41" s="5" t="s">
        <v>7</v>
      </c>
      <c r="C41" s="7">
        <v>100224</v>
      </c>
      <c r="D41" s="19" t="s">
        <v>608</v>
      </c>
      <c r="E41" s="8"/>
      <c r="F41" s="9"/>
      <c r="G41" s="9"/>
    </row>
    <row r="42" spans="1:7">
      <c r="A42" s="11" t="s">
        <v>6</v>
      </c>
      <c r="B42" s="5" t="s">
        <v>7</v>
      </c>
      <c r="C42" s="7">
        <v>100226</v>
      </c>
      <c r="D42" s="19" t="s">
        <v>23</v>
      </c>
      <c r="E42" s="8">
        <v>10</v>
      </c>
      <c r="F42" s="9"/>
      <c r="G42" s="9"/>
    </row>
    <row r="43" spans="1:7">
      <c r="A43" s="11" t="s">
        <v>25</v>
      </c>
      <c r="B43" s="5" t="s">
        <v>7</v>
      </c>
      <c r="C43" s="7">
        <v>200000</v>
      </c>
      <c r="D43" s="19" t="s">
        <v>609</v>
      </c>
      <c r="E43" s="8"/>
      <c r="F43" s="9"/>
      <c r="G43" s="9"/>
    </row>
    <row r="44" spans="1:7">
      <c r="A44" s="11" t="s">
        <v>25</v>
      </c>
      <c r="B44" s="5" t="s">
        <v>7</v>
      </c>
      <c r="C44" s="7">
        <v>200002</v>
      </c>
      <c r="D44" s="19" t="s">
        <v>610</v>
      </c>
      <c r="E44" s="8"/>
      <c r="F44" s="9"/>
      <c r="G44" s="9"/>
    </row>
    <row r="45" spans="1:7">
      <c r="A45" s="11" t="s">
        <v>25</v>
      </c>
      <c r="B45" s="11" t="s">
        <v>7</v>
      </c>
      <c r="C45" s="155">
        <v>200003</v>
      </c>
      <c r="D45" s="40" t="s">
        <v>543</v>
      </c>
      <c r="E45" s="8"/>
      <c r="F45" s="9"/>
      <c r="G45" s="9"/>
    </row>
    <row r="46" spans="1:7">
      <c r="A46" s="5" t="s">
        <v>25</v>
      </c>
      <c r="B46" s="5" t="s">
        <v>7</v>
      </c>
      <c r="C46" s="7">
        <v>200004</v>
      </c>
      <c r="D46" s="19" t="s">
        <v>328</v>
      </c>
      <c r="E46" s="8">
        <v>60</v>
      </c>
      <c r="F46" s="9"/>
      <c r="G46" s="9"/>
    </row>
    <row r="47" spans="1:7" ht="12.65" customHeight="1">
      <c r="A47" s="5" t="s">
        <v>25</v>
      </c>
      <c r="B47" s="5" t="s">
        <v>7</v>
      </c>
      <c r="C47" s="7">
        <v>200011</v>
      </c>
      <c r="D47" s="19" t="s">
        <v>319</v>
      </c>
      <c r="E47" s="8"/>
      <c r="F47" s="9"/>
      <c r="G47" s="9"/>
    </row>
    <row r="48" spans="1:7" s="18" customFormat="1">
      <c r="A48" s="11" t="s">
        <v>25</v>
      </c>
      <c r="B48" s="5" t="s">
        <v>7</v>
      </c>
      <c r="C48" s="7">
        <v>200015</v>
      </c>
      <c r="D48" s="19" t="s">
        <v>429</v>
      </c>
      <c r="E48" s="8"/>
    </row>
    <row r="49" spans="1:5" s="18" customFormat="1">
      <c r="A49" s="5" t="s">
        <v>25</v>
      </c>
      <c r="B49" s="5" t="s">
        <v>7</v>
      </c>
      <c r="C49" s="7">
        <v>200016</v>
      </c>
      <c r="D49" s="19" t="s">
        <v>422</v>
      </c>
      <c r="E49" s="8"/>
    </row>
    <row r="50" spans="1:5" s="18" customFormat="1">
      <c r="A50" s="11" t="s">
        <v>25</v>
      </c>
      <c r="B50" s="5" t="s">
        <v>7</v>
      </c>
      <c r="C50" s="7">
        <v>200018</v>
      </c>
      <c r="D50" s="19" t="s">
        <v>421</v>
      </c>
      <c r="E50" s="8"/>
    </row>
    <row r="51" spans="1:5" s="18" customFormat="1">
      <c r="A51" s="11" t="s">
        <v>25</v>
      </c>
      <c r="B51" s="5" t="s">
        <v>7</v>
      </c>
      <c r="C51" s="7">
        <v>200019</v>
      </c>
      <c r="D51" s="19" t="s">
        <v>611</v>
      </c>
      <c r="E51" s="8"/>
    </row>
    <row r="52" spans="1:5" s="18" customFormat="1" ht="12.65" customHeight="1">
      <c r="A52" s="11" t="s">
        <v>25</v>
      </c>
      <c r="B52" s="5" t="s">
        <v>7</v>
      </c>
      <c r="C52" s="7">
        <v>200024</v>
      </c>
      <c r="D52" s="19" t="s">
        <v>315</v>
      </c>
      <c r="E52" s="8"/>
    </row>
    <row r="53" spans="1:5" s="18" customFormat="1">
      <c r="A53" s="11" t="s">
        <v>25</v>
      </c>
      <c r="B53" s="5" t="s">
        <v>7</v>
      </c>
      <c r="C53" s="7">
        <v>200031</v>
      </c>
      <c r="D53" s="19" t="s">
        <v>265</v>
      </c>
      <c r="E53" s="8"/>
    </row>
    <row r="54" spans="1:5" s="18" customFormat="1" ht="12.65" customHeight="1">
      <c r="A54" s="5" t="s">
        <v>25</v>
      </c>
      <c r="B54" s="5" t="s">
        <v>7</v>
      </c>
      <c r="C54" s="156">
        <v>200033</v>
      </c>
      <c r="D54" s="102" t="s">
        <v>247</v>
      </c>
      <c r="E54" s="8"/>
    </row>
    <row r="55" spans="1:5" s="18" customFormat="1" ht="12.65" customHeight="1">
      <c r="A55" s="5" t="s">
        <v>25</v>
      </c>
      <c r="B55" s="5" t="s">
        <v>7</v>
      </c>
      <c r="C55" s="156">
        <v>200034</v>
      </c>
      <c r="D55" s="102" t="s">
        <v>252</v>
      </c>
      <c r="E55" s="8">
        <v>17</v>
      </c>
    </row>
    <row r="56" spans="1:5" s="18" customFormat="1">
      <c r="A56" s="5" t="s">
        <v>25</v>
      </c>
      <c r="B56" s="5" t="s">
        <v>7</v>
      </c>
      <c r="C56" s="7">
        <v>200071</v>
      </c>
      <c r="D56" s="19" t="s">
        <v>430</v>
      </c>
      <c r="E56" s="8"/>
    </row>
    <row r="57" spans="1:5" s="18" customFormat="1">
      <c r="A57" s="5" t="s">
        <v>25</v>
      </c>
      <c r="B57" s="5" t="s">
        <v>7</v>
      </c>
      <c r="C57" s="7">
        <v>200078</v>
      </c>
      <c r="D57" s="19" t="s">
        <v>612</v>
      </c>
      <c r="E57" s="8"/>
    </row>
    <row r="58" spans="1:5" s="18" customFormat="1">
      <c r="A58" s="11" t="s">
        <v>25</v>
      </c>
      <c r="B58" s="5" t="s">
        <v>7</v>
      </c>
      <c r="C58" s="7">
        <v>200079</v>
      </c>
      <c r="D58" s="19" t="s">
        <v>332</v>
      </c>
      <c r="E58" s="8"/>
    </row>
    <row r="59" spans="1:5" s="18" customFormat="1">
      <c r="A59" s="11" t="s">
        <v>25</v>
      </c>
      <c r="B59" s="5" t="s">
        <v>7</v>
      </c>
      <c r="C59" s="7">
        <v>200080</v>
      </c>
      <c r="D59" s="19" t="s">
        <v>327</v>
      </c>
      <c r="E59" s="8"/>
    </row>
    <row r="60" spans="1:5" s="18" customFormat="1">
      <c r="A60" s="5" t="s">
        <v>25</v>
      </c>
      <c r="B60" s="5" t="s">
        <v>7</v>
      </c>
      <c r="C60" s="7">
        <v>200081</v>
      </c>
      <c r="D60" s="19" t="s">
        <v>320</v>
      </c>
      <c r="E60" s="8"/>
    </row>
    <row r="61" spans="1:5" s="18" customFormat="1">
      <c r="A61" s="5" t="s">
        <v>25</v>
      </c>
      <c r="B61" s="5" t="s">
        <v>7</v>
      </c>
      <c r="C61" s="7">
        <v>200082</v>
      </c>
      <c r="D61" s="19" t="s">
        <v>450</v>
      </c>
      <c r="E61" s="8"/>
    </row>
    <row r="62" spans="1:5" s="18" customFormat="1">
      <c r="A62" s="11" t="s">
        <v>25</v>
      </c>
      <c r="B62" s="5" t="s">
        <v>7</v>
      </c>
      <c r="C62" s="7">
        <v>200086</v>
      </c>
      <c r="D62" s="19" t="s">
        <v>317</v>
      </c>
      <c r="E62" s="8"/>
    </row>
    <row r="63" spans="1:5" s="18" customFormat="1">
      <c r="A63" s="5" t="s">
        <v>25</v>
      </c>
      <c r="B63" s="5" t="s">
        <v>7</v>
      </c>
      <c r="C63" s="7">
        <v>200099</v>
      </c>
      <c r="D63" s="19" t="s">
        <v>427</v>
      </c>
      <c r="E63" s="8"/>
    </row>
    <row r="64" spans="1:5" s="18" customFormat="1">
      <c r="A64" s="11" t="s">
        <v>25</v>
      </c>
      <c r="B64" s="5" t="s">
        <v>7</v>
      </c>
      <c r="C64" s="7">
        <v>200106</v>
      </c>
      <c r="D64" s="19" t="s">
        <v>613</v>
      </c>
      <c r="E64" s="8"/>
    </row>
    <row r="65" spans="1:5" s="18" customFormat="1">
      <c r="A65" s="11" t="s">
        <v>25</v>
      </c>
      <c r="B65" s="11" t="s">
        <v>7</v>
      </c>
      <c r="C65" s="7">
        <v>200116</v>
      </c>
      <c r="D65" s="19" t="s">
        <v>428</v>
      </c>
      <c r="E65" s="8"/>
    </row>
    <row r="66" spans="1:5" s="18" customFormat="1">
      <c r="A66" s="11" t="s">
        <v>25</v>
      </c>
      <c r="B66" s="5" t="s">
        <v>7</v>
      </c>
      <c r="C66" s="7">
        <v>200205</v>
      </c>
      <c r="D66" s="19" t="s">
        <v>614</v>
      </c>
      <c r="E66" s="8"/>
    </row>
    <row r="67" spans="1:5" s="18" customFormat="1">
      <c r="A67" s="5" t="s">
        <v>25</v>
      </c>
      <c r="B67" s="5" t="s">
        <v>7</v>
      </c>
      <c r="C67" s="7">
        <v>200213</v>
      </c>
      <c r="D67" s="19" t="s">
        <v>615</v>
      </c>
      <c r="E67" s="8"/>
    </row>
    <row r="68" spans="1:5" s="18" customFormat="1">
      <c r="A68" s="11" t="s">
        <v>25</v>
      </c>
      <c r="B68" s="11" t="s">
        <v>7</v>
      </c>
      <c r="C68" s="7">
        <v>200216</v>
      </c>
      <c r="D68" s="19" t="s">
        <v>616</v>
      </c>
      <c r="E68" s="8"/>
    </row>
    <row r="69" spans="1:5" s="18" customFormat="1">
      <c r="A69" s="11" t="s">
        <v>25</v>
      </c>
      <c r="B69" s="5" t="s">
        <v>7</v>
      </c>
      <c r="C69" s="7">
        <v>200220</v>
      </c>
      <c r="D69" s="19" t="s">
        <v>617</v>
      </c>
      <c r="E69" s="8"/>
    </row>
    <row r="70" spans="1:5" s="18" customFormat="1">
      <c r="A70" s="5" t="s">
        <v>25</v>
      </c>
      <c r="B70" s="5" t="s">
        <v>7</v>
      </c>
      <c r="C70" s="7">
        <v>200223</v>
      </c>
      <c r="D70" s="19" t="s">
        <v>618</v>
      </c>
      <c r="E70" s="8"/>
    </row>
    <row r="71" spans="1:5" s="18" customFormat="1">
      <c r="A71" s="11" t="s">
        <v>25</v>
      </c>
      <c r="B71" s="5" t="s">
        <v>7</v>
      </c>
      <c r="C71" s="7">
        <v>200224</v>
      </c>
      <c r="D71" s="19" t="s">
        <v>619</v>
      </c>
      <c r="E71" s="8"/>
    </row>
    <row r="72" spans="1:5" s="18" customFormat="1">
      <c r="A72" s="11" t="s">
        <v>25</v>
      </c>
      <c r="B72" s="5" t="s">
        <v>7</v>
      </c>
      <c r="C72" s="7">
        <v>200234</v>
      </c>
      <c r="D72" s="19" t="s">
        <v>620</v>
      </c>
      <c r="E72" s="8"/>
    </row>
    <row r="73" spans="1:5" s="18" customFormat="1">
      <c r="A73" s="11" t="s">
        <v>25</v>
      </c>
      <c r="B73" s="5" t="s">
        <v>7</v>
      </c>
      <c r="C73" s="7">
        <v>200259</v>
      </c>
      <c r="D73" s="19" t="s">
        <v>495</v>
      </c>
      <c r="E73" s="8"/>
    </row>
    <row r="74" spans="1:5" s="18" customFormat="1">
      <c r="A74" s="11" t="s">
        <v>25</v>
      </c>
      <c r="B74" s="5" t="s">
        <v>7</v>
      </c>
      <c r="C74" s="7">
        <v>200266</v>
      </c>
      <c r="D74" s="19" t="s">
        <v>330</v>
      </c>
      <c r="E74" s="8"/>
    </row>
    <row r="75" spans="1:5" s="18" customFormat="1">
      <c r="A75" s="11" t="s">
        <v>25</v>
      </c>
      <c r="B75" s="5" t="s">
        <v>7</v>
      </c>
      <c r="C75" s="7">
        <v>200289</v>
      </c>
      <c r="D75" s="19" t="s">
        <v>556</v>
      </c>
      <c r="E75" s="8">
        <v>4</v>
      </c>
    </row>
    <row r="76" spans="1:5" s="18" customFormat="1">
      <c r="A76" s="11" t="s">
        <v>25</v>
      </c>
      <c r="B76" s="5" t="s">
        <v>7</v>
      </c>
      <c r="C76" s="7">
        <v>200290</v>
      </c>
      <c r="D76" s="19" t="s">
        <v>557</v>
      </c>
      <c r="E76" s="8"/>
    </row>
    <row r="77" spans="1:5" s="18" customFormat="1">
      <c r="A77" s="11" t="s">
        <v>25</v>
      </c>
      <c r="B77" s="5" t="s">
        <v>7</v>
      </c>
      <c r="C77" s="7">
        <v>200291</v>
      </c>
      <c r="D77" s="19" t="s">
        <v>621</v>
      </c>
      <c r="E77" s="8"/>
    </row>
    <row r="78" spans="1:5" s="18" customFormat="1">
      <c r="A78" s="11" t="s">
        <v>25</v>
      </c>
      <c r="B78" s="5" t="s">
        <v>7</v>
      </c>
      <c r="C78" s="7">
        <v>200292</v>
      </c>
      <c r="D78" s="19" t="s">
        <v>183</v>
      </c>
      <c r="E78" s="8">
        <v>2</v>
      </c>
    </row>
    <row r="79" spans="1:5" s="18" customFormat="1">
      <c r="A79" s="5" t="s">
        <v>25</v>
      </c>
      <c r="B79" s="5" t="s">
        <v>7</v>
      </c>
      <c r="C79" s="7">
        <v>200304</v>
      </c>
      <c r="D79" s="19" t="s">
        <v>622</v>
      </c>
      <c r="E79" s="8"/>
    </row>
    <row r="80" spans="1:5" s="18" customFormat="1">
      <c r="A80" s="11" t="s">
        <v>25</v>
      </c>
      <c r="B80" s="5" t="s">
        <v>7</v>
      </c>
      <c r="C80" s="7">
        <v>200310</v>
      </c>
      <c r="D80" s="19" t="s">
        <v>316</v>
      </c>
      <c r="E80" s="8"/>
    </row>
    <row r="81" spans="1:5" s="18" customFormat="1">
      <c r="A81" s="11" t="s">
        <v>25</v>
      </c>
      <c r="B81" s="5" t="s">
        <v>7</v>
      </c>
      <c r="C81" s="7">
        <v>200316</v>
      </c>
      <c r="D81" s="19" t="s">
        <v>623</v>
      </c>
      <c r="E81" s="8"/>
    </row>
    <row r="82" spans="1:5" s="18" customFormat="1">
      <c r="A82" s="11" t="s">
        <v>25</v>
      </c>
      <c r="B82" s="5" t="s">
        <v>7</v>
      </c>
      <c r="C82" s="7">
        <v>200324</v>
      </c>
      <c r="D82" s="19" t="s">
        <v>624</v>
      </c>
      <c r="E82" s="8"/>
    </row>
    <row r="83" spans="1:5" s="18" customFormat="1">
      <c r="A83" s="11" t="s">
        <v>25</v>
      </c>
      <c r="B83" s="5" t="s">
        <v>7</v>
      </c>
      <c r="C83" s="7">
        <v>200332</v>
      </c>
      <c r="D83" s="19" t="s">
        <v>625</v>
      </c>
      <c r="E83" s="8"/>
    </row>
    <row r="84" spans="1:5" s="18" customFormat="1">
      <c r="A84" s="11" t="s">
        <v>25</v>
      </c>
      <c r="B84" s="5" t="s">
        <v>7</v>
      </c>
      <c r="C84" s="7">
        <v>200333</v>
      </c>
      <c r="D84" s="19" t="s">
        <v>335</v>
      </c>
      <c r="E84" s="8"/>
    </row>
    <row r="85" spans="1:5" s="18" customFormat="1">
      <c r="A85" s="11" t="s">
        <v>25</v>
      </c>
      <c r="B85" s="5" t="s">
        <v>7</v>
      </c>
      <c r="C85" s="7">
        <v>200336</v>
      </c>
      <c r="D85" s="19" t="s">
        <v>333</v>
      </c>
      <c r="E85" s="8"/>
    </row>
    <row r="86" spans="1:5" s="18" customFormat="1">
      <c r="A86" s="11" t="s">
        <v>25</v>
      </c>
      <c r="B86" s="5" t="s">
        <v>7</v>
      </c>
      <c r="C86" s="7">
        <v>200337</v>
      </c>
      <c r="D86" s="19" t="s">
        <v>334</v>
      </c>
      <c r="E86" s="8"/>
    </row>
    <row r="87" spans="1:5" s="18" customFormat="1">
      <c r="A87" s="11" t="s">
        <v>25</v>
      </c>
      <c r="B87" s="11" t="s">
        <v>7</v>
      </c>
      <c r="C87" s="99">
        <v>200367</v>
      </c>
      <c r="D87" s="100" t="s">
        <v>626</v>
      </c>
      <c r="E87" s="8"/>
    </row>
    <row r="88" spans="1:5" s="18" customFormat="1">
      <c r="A88" s="11" t="s">
        <v>25</v>
      </c>
      <c r="B88" s="11" t="s">
        <v>7</v>
      </c>
      <c r="C88" s="7">
        <v>200371</v>
      </c>
      <c r="D88" s="7" t="s">
        <v>627</v>
      </c>
      <c r="E88" s="8"/>
    </row>
    <row r="89" spans="1:5" s="18" customFormat="1">
      <c r="A89" s="11" t="s">
        <v>25</v>
      </c>
      <c r="B89" s="5" t="s">
        <v>7</v>
      </c>
      <c r="C89" s="7">
        <v>200381</v>
      </c>
      <c r="D89" s="19" t="s">
        <v>628</v>
      </c>
      <c r="E89" s="8"/>
    </row>
    <row r="90" spans="1:5" s="18" customFormat="1">
      <c r="A90" s="11" t="s">
        <v>25</v>
      </c>
      <c r="B90" s="5" t="s">
        <v>7</v>
      </c>
      <c r="C90" s="7">
        <v>200382</v>
      </c>
      <c r="D90" s="19" t="s">
        <v>629</v>
      </c>
      <c r="E90" s="8"/>
    </row>
    <row r="91" spans="1:5" s="18" customFormat="1">
      <c r="A91" s="11" t="s">
        <v>25</v>
      </c>
      <c r="B91" s="11" t="s">
        <v>7</v>
      </c>
      <c r="C91" s="7">
        <v>200383</v>
      </c>
      <c r="D91" s="7" t="s">
        <v>630</v>
      </c>
      <c r="E91" s="8"/>
    </row>
    <row r="92" spans="1:5" s="18" customFormat="1">
      <c r="A92" s="11" t="s">
        <v>25</v>
      </c>
      <c r="B92" s="5" t="s">
        <v>7</v>
      </c>
      <c r="C92" s="7">
        <v>200387</v>
      </c>
      <c r="D92" s="19" t="s">
        <v>631</v>
      </c>
      <c r="E92" s="8"/>
    </row>
    <row r="93" spans="1:5" s="18" customFormat="1">
      <c r="A93" s="11" t="s">
        <v>25</v>
      </c>
      <c r="B93" s="5" t="s">
        <v>7</v>
      </c>
      <c r="C93" s="7">
        <v>200389</v>
      </c>
      <c r="D93" s="19" t="s">
        <v>632</v>
      </c>
      <c r="E93" s="8"/>
    </row>
    <row r="94" spans="1:5" s="18" customFormat="1">
      <c r="A94" s="11" t="s">
        <v>25</v>
      </c>
      <c r="B94" s="5" t="s">
        <v>7</v>
      </c>
      <c r="C94" s="7">
        <v>200391</v>
      </c>
      <c r="D94" s="19" t="s">
        <v>633</v>
      </c>
      <c r="E94" s="8"/>
    </row>
    <row r="95" spans="1:5" s="18" customFormat="1">
      <c r="A95" s="11" t="s">
        <v>25</v>
      </c>
      <c r="B95" s="5" t="s">
        <v>7</v>
      </c>
      <c r="C95" s="7">
        <v>200396</v>
      </c>
      <c r="D95" s="19" t="s">
        <v>318</v>
      </c>
      <c r="E95" s="8"/>
    </row>
    <row r="96" spans="1:5" s="18" customFormat="1">
      <c r="A96" s="11" t="s">
        <v>25</v>
      </c>
      <c r="B96" s="5" t="s">
        <v>7</v>
      </c>
      <c r="C96" s="7">
        <v>200397</v>
      </c>
      <c r="D96" s="19" t="s">
        <v>634</v>
      </c>
      <c r="E96" s="8"/>
    </row>
    <row r="97" spans="1:5" s="18" customFormat="1">
      <c r="A97" s="11" t="s">
        <v>25</v>
      </c>
      <c r="B97" s="5" t="s">
        <v>7</v>
      </c>
      <c r="C97" s="7">
        <v>200398</v>
      </c>
      <c r="D97" s="19" t="s">
        <v>191</v>
      </c>
      <c r="E97" s="8"/>
    </row>
    <row r="98" spans="1:5" s="18" customFormat="1">
      <c r="A98" s="11" t="s">
        <v>25</v>
      </c>
      <c r="B98" s="5" t="s">
        <v>7</v>
      </c>
      <c r="C98" s="7">
        <v>200400</v>
      </c>
      <c r="D98" s="19" t="s">
        <v>635</v>
      </c>
      <c r="E98" s="8"/>
    </row>
    <row r="99" spans="1:5" s="18" customFormat="1">
      <c r="A99" s="11" t="s">
        <v>25</v>
      </c>
      <c r="B99" s="5" t="s">
        <v>7</v>
      </c>
      <c r="C99" s="7">
        <v>200406</v>
      </c>
      <c r="D99" s="19" t="s">
        <v>636</v>
      </c>
      <c r="E99" s="8">
        <v>3</v>
      </c>
    </row>
    <row r="100" spans="1:5" s="18" customFormat="1">
      <c r="A100" s="11" t="s">
        <v>25</v>
      </c>
      <c r="B100" s="5" t="s">
        <v>7</v>
      </c>
      <c r="C100" s="7">
        <v>200408</v>
      </c>
      <c r="D100" s="19" t="s">
        <v>637</v>
      </c>
      <c r="E100" s="8">
        <v>10</v>
      </c>
    </row>
    <row r="101" spans="1:5" s="18" customFormat="1">
      <c r="A101" s="11" t="s">
        <v>25</v>
      </c>
      <c r="B101" s="5" t="s">
        <v>7</v>
      </c>
      <c r="C101" s="7">
        <v>200415</v>
      </c>
      <c r="D101" s="19" t="s">
        <v>184</v>
      </c>
      <c r="E101" s="8"/>
    </row>
    <row r="102" spans="1:5" s="18" customFormat="1">
      <c r="A102" s="11" t="s">
        <v>25</v>
      </c>
      <c r="B102" s="11" t="s">
        <v>7</v>
      </c>
      <c r="C102" s="7">
        <v>200418</v>
      </c>
      <c r="D102" s="19" t="s">
        <v>638</v>
      </c>
      <c r="E102" s="8"/>
    </row>
    <row r="103" spans="1:5" s="18" customFormat="1">
      <c r="A103" s="11" t="s">
        <v>25</v>
      </c>
      <c r="B103" s="11" t="s">
        <v>7</v>
      </c>
      <c r="C103" s="7">
        <v>200419</v>
      </c>
      <c r="D103" s="19" t="s">
        <v>639</v>
      </c>
      <c r="E103" s="8"/>
    </row>
    <row r="104" spans="1:5" s="18" customFormat="1">
      <c r="A104" s="11" t="s">
        <v>25</v>
      </c>
      <c r="B104" s="11" t="s">
        <v>7</v>
      </c>
      <c r="C104" s="7">
        <v>200424</v>
      </c>
      <c r="D104" s="19" t="s">
        <v>640</v>
      </c>
      <c r="E104" s="8"/>
    </row>
    <row r="105" spans="1:5" s="18" customFormat="1">
      <c r="A105" s="11" t="s">
        <v>25</v>
      </c>
      <c r="B105" s="11" t="s">
        <v>7</v>
      </c>
      <c r="C105" s="7">
        <v>200427</v>
      </c>
      <c r="D105" s="19" t="s">
        <v>641</v>
      </c>
      <c r="E105" s="8"/>
    </row>
    <row r="106" spans="1:5" s="18" customFormat="1">
      <c r="A106" s="5" t="s">
        <v>25</v>
      </c>
      <c r="B106" s="5" t="s">
        <v>7</v>
      </c>
      <c r="C106" s="7">
        <v>200428</v>
      </c>
      <c r="D106" s="19" t="s">
        <v>642</v>
      </c>
      <c r="E106" s="8"/>
    </row>
    <row r="107" spans="1:5" s="18" customFormat="1">
      <c r="A107" s="11" t="s">
        <v>25</v>
      </c>
      <c r="B107" s="11" t="s">
        <v>7</v>
      </c>
      <c r="C107" s="7">
        <v>200431</v>
      </c>
      <c r="D107" s="19" t="s">
        <v>268</v>
      </c>
      <c r="E107" s="8"/>
    </row>
    <row r="108" spans="1:5" s="18" customFormat="1">
      <c r="A108" s="5" t="s">
        <v>25</v>
      </c>
      <c r="B108" s="5" t="s">
        <v>7</v>
      </c>
      <c r="C108" s="7">
        <v>200433</v>
      </c>
      <c r="D108" s="19" t="s">
        <v>643</v>
      </c>
      <c r="E108" s="8"/>
    </row>
    <row r="109" spans="1:5" s="18" customFormat="1">
      <c r="A109" s="11" t="s">
        <v>25</v>
      </c>
      <c r="B109" s="11" t="s">
        <v>7</v>
      </c>
      <c r="C109" s="7">
        <v>200434</v>
      </c>
      <c r="D109" s="19" t="s">
        <v>644</v>
      </c>
      <c r="E109" s="8"/>
    </row>
    <row r="110" spans="1:5" s="18" customFormat="1">
      <c r="A110" s="11" t="s">
        <v>25</v>
      </c>
      <c r="B110" s="11" t="s">
        <v>7</v>
      </c>
      <c r="C110" s="7">
        <v>200435</v>
      </c>
      <c r="D110" s="19" t="s">
        <v>645</v>
      </c>
      <c r="E110" s="8"/>
    </row>
    <row r="111" spans="1:5" s="18" customFormat="1">
      <c r="A111" s="11" t="s">
        <v>89</v>
      </c>
      <c r="B111" s="11" t="s">
        <v>7</v>
      </c>
      <c r="C111" s="7">
        <v>300041</v>
      </c>
      <c r="D111" s="19" t="s">
        <v>646</v>
      </c>
      <c r="E111" s="8"/>
    </row>
    <row r="112" spans="1:5" s="18" customFormat="1">
      <c r="A112" s="11" t="s">
        <v>89</v>
      </c>
      <c r="B112" s="11" t="s">
        <v>7</v>
      </c>
      <c r="C112" s="7">
        <v>300042</v>
      </c>
      <c r="D112" s="19" t="s">
        <v>647</v>
      </c>
      <c r="E112" s="8"/>
    </row>
    <row r="113" spans="1:5" s="18" customFormat="1">
      <c r="A113" s="11" t="s">
        <v>89</v>
      </c>
      <c r="B113" s="11" t="s">
        <v>7</v>
      </c>
      <c r="C113" s="7">
        <v>300043</v>
      </c>
      <c r="D113" s="19" t="s">
        <v>115</v>
      </c>
      <c r="E113" s="8"/>
    </row>
    <row r="114" spans="1:5" s="18" customFormat="1">
      <c r="A114" s="11" t="s">
        <v>89</v>
      </c>
      <c r="B114" s="11" t="s">
        <v>7</v>
      </c>
      <c r="C114" s="7">
        <v>300046</v>
      </c>
      <c r="D114" s="19" t="s">
        <v>116</v>
      </c>
      <c r="E114" s="8">
        <v>19</v>
      </c>
    </row>
    <row r="115" spans="1:5" s="18" customFormat="1">
      <c r="A115" s="11" t="s">
        <v>89</v>
      </c>
      <c r="B115" s="11" t="s">
        <v>7</v>
      </c>
      <c r="C115" s="7">
        <v>300047</v>
      </c>
      <c r="D115" s="19" t="s">
        <v>648</v>
      </c>
      <c r="E115" s="8">
        <v>3</v>
      </c>
    </row>
    <row r="116" spans="1:5" s="18" customFormat="1">
      <c r="A116" s="11" t="s">
        <v>89</v>
      </c>
      <c r="B116" s="11" t="s">
        <v>7</v>
      </c>
      <c r="C116" s="7">
        <v>300049</v>
      </c>
      <c r="D116" s="19" t="s">
        <v>649</v>
      </c>
      <c r="E116" s="8"/>
    </row>
    <row r="117" spans="1:5" s="18" customFormat="1">
      <c r="A117" s="11" t="s">
        <v>25</v>
      </c>
      <c r="B117" s="11" t="s">
        <v>7</v>
      </c>
      <c r="C117" s="7">
        <v>500001</v>
      </c>
      <c r="D117" s="19" t="s">
        <v>650</v>
      </c>
      <c r="E117" s="8"/>
    </row>
    <row r="118" spans="1:5" s="18" customFormat="1">
      <c r="A118" s="11" t="s">
        <v>25</v>
      </c>
      <c r="B118" s="11" t="s">
        <v>7</v>
      </c>
      <c r="C118" s="7">
        <v>500004</v>
      </c>
      <c r="D118" s="19" t="s">
        <v>651</v>
      </c>
      <c r="E118" s="8"/>
    </row>
    <row r="119" spans="1:5" s="18" customFormat="1">
      <c r="A119" s="11" t="s">
        <v>25</v>
      </c>
      <c r="B119" s="11" t="s">
        <v>7</v>
      </c>
      <c r="C119" s="7">
        <v>500006</v>
      </c>
      <c r="D119" s="19" t="s">
        <v>652</v>
      </c>
      <c r="E119" s="8"/>
    </row>
    <row r="120" spans="1:5" s="18" customFormat="1">
      <c r="A120" s="11" t="s">
        <v>25</v>
      </c>
      <c r="B120" s="11" t="s">
        <v>7</v>
      </c>
      <c r="C120" s="7">
        <v>500007</v>
      </c>
      <c r="D120" s="19" t="s">
        <v>653</v>
      </c>
      <c r="E120" s="8"/>
    </row>
    <row r="121" spans="1:5" s="18" customFormat="1">
      <c r="A121" s="5" t="s">
        <v>25</v>
      </c>
      <c r="B121" s="5" t="s">
        <v>7</v>
      </c>
      <c r="C121" s="7">
        <v>500009</v>
      </c>
      <c r="D121" s="19" t="s">
        <v>157</v>
      </c>
      <c r="E121" s="8"/>
    </row>
    <row r="122" spans="1:5" s="18" customFormat="1">
      <c r="A122" s="11" t="s">
        <v>25</v>
      </c>
      <c r="B122" s="11" t="s">
        <v>7</v>
      </c>
      <c r="C122" s="7">
        <v>500011</v>
      </c>
      <c r="D122" s="19" t="s">
        <v>423</v>
      </c>
      <c r="E122" s="8"/>
    </row>
    <row r="123" spans="1:5" s="18" customFormat="1" ht="12.65" customHeight="1">
      <c r="A123" s="11" t="s">
        <v>25</v>
      </c>
      <c r="B123" s="11" t="s">
        <v>7</v>
      </c>
      <c r="C123" s="24">
        <v>500020</v>
      </c>
      <c r="D123" s="40" t="s">
        <v>38</v>
      </c>
      <c r="E123" s="8">
        <v>11</v>
      </c>
    </row>
    <row r="124" spans="1:5" s="18" customFormat="1">
      <c r="A124" s="11" t="s">
        <v>25</v>
      </c>
      <c r="B124" s="11" t="s">
        <v>7</v>
      </c>
      <c r="C124" s="7">
        <v>500021</v>
      </c>
      <c r="D124" s="19" t="s">
        <v>654</v>
      </c>
      <c r="E124" s="8"/>
    </row>
    <row r="125" spans="1:5" s="18" customFormat="1">
      <c r="A125" s="11" t="s">
        <v>25</v>
      </c>
      <c r="B125" s="11" t="s">
        <v>7</v>
      </c>
      <c r="C125" s="7">
        <v>500022</v>
      </c>
      <c r="D125" s="19" t="s">
        <v>655</v>
      </c>
      <c r="E125" s="8"/>
    </row>
    <row r="126" spans="1:5" s="18" customFormat="1">
      <c r="A126" s="5" t="s">
        <v>25</v>
      </c>
      <c r="B126" s="11" t="s">
        <v>7</v>
      </c>
      <c r="C126" s="7">
        <v>500032</v>
      </c>
      <c r="D126" s="19" t="s">
        <v>656</v>
      </c>
      <c r="E126" s="8"/>
    </row>
    <row r="127" spans="1:5" s="18" customFormat="1">
      <c r="A127" s="5" t="s">
        <v>25</v>
      </c>
      <c r="B127" s="11" t="s">
        <v>7</v>
      </c>
      <c r="C127" s="7">
        <v>500036</v>
      </c>
      <c r="D127" s="19" t="s">
        <v>657</v>
      </c>
      <c r="E127" s="8"/>
    </row>
    <row r="128" spans="1:5" s="18" customFormat="1">
      <c r="A128" s="5" t="s">
        <v>25</v>
      </c>
      <c r="B128" s="11" t="s">
        <v>7</v>
      </c>
      <c r="C128" s="7">
        <v>500037</v>
      </c>
      <c r="D128" s="19" t="s">
        <v>658</v>
      </c>
      <c r="E128" s="8"/>
    </row>
    <row r="129" spans="1:5" s="18" customFormat="1">
      <c r="A129" s="5" t="s">
        <v>25</v>
      </c>
      <c r="B129" s="5" t="s">
        <v>7</v>
      </c>
      <c r="C129" s="7">
        <v>500038</v>
      </c>
      <c r="D129" s="19" t="s">
        <v>659</v>
      </c>
      <c r="E129" s="8"/>
    </row>
    <row r="130" spans="1:5" s="18" customFormat="1">
      <c r="A130" s="11" t="s">
        <v>25</v>
      </c>
      <c r="B130" s="11" t="s">
        <v>7</v>
      </c>
      <c r="C130" s="7">
        <v>500044</v>
      </c>
      <c r="D130" s="19" t="s">
        <v>660</v>
      </c>
      <c r="E130" s="8"/>
    </row>
    <row r="131" spans="1:5" s="18" customFormat="1">
      <c r="A131" s="11" t="s">
        <v>25</v>
      </c>
      <c r="B131" s="11" t="s">
        <v>7</v>
      </c>
      <c r="C131" s="7">
        <v>500045</v>
      </c>
      <c r="D131" s="19" t="s">
        <v>424</v>
      </c>
      <c r="E131" s="8"/>
    </row>
    <row r="132" spans="1:5" s="18" customFormat="1" ht="12.65" customHeight="1">
      <c r="A132" s="11" t="s">
        <v>25</v>
      </c>
      <c r="B132" s="11" t="s">
        <v>7</v>
      </c>
      <c r="C132" s="24">
        <v>500048</v>
      </c>
      <c r="D132" s="40" t="s">
        <v>37</v>
      </c>
      <c r="E132" s="8"/>
    </row>
    <row r="133" spans="1:5" s="18" customFormat="1">
      <c r="A133" s="11" t="s">
        <v>25</v>
      </c>
      <c r="B133" s="11" t="s">
        <v>7</v>
      </c>
      <c r="C133" s="7">
        <v>500053</v>
      </c>
      <c r="D133" s="19" t="s">
        <v>661</v>
      </c>
      <c r="E133" s="8"/>
    </row>
    <row r="134" spans="1:5" s="18" customFormat="1">
      <c r="A134" s="11" t="s">
        <v>25</v>
      </c>
      <c r="B134" s="11" t="s">
        <v>7</v>
      </c>
      <c r="C134" s="7">
        <v>500055</v>
      </c>
      <c r="D134" s="19" t="s">
        <v>662</v>
      </c>
      <c r="E134" s="8"/>
    </row>
    <row r="135" spans="1:5" s="18" customFormat="1">
      <c r="A135" s="11" t="s">
        <v>25</v>
      </c>
      <c r="B135" s="11" t="s">
        <v>7</v>
      </c>
      <c r="C135" s="24">
        <v>500056</v>
      </c>
      <c r="D135" s="40" t="s">
        <v>158</v>
      </c>
      <c r="E135" s="8"/>
    </row>
    <row r="136" spans="1:5" s="18" customFormat="1">
      <c r="A136" s="11" t="s">
        <v>40</v>
      </c>
      <c r="B136" s="11" t="s">
        <v>41</v>
      </c>
      <c r="C136" s="7">
        <v>910045</v>
      </c>
      <c r="D136" s="19" t="s">
        <v>229</v>
      </c>
      <c r="E136" s="8">
        <v>34</v>
      </c>
    </row>
    <row r="137" spans="1:5" s="18" customFormat="1">
      <c r="A137" s="11" t="s">
        <v>40</v>
      </c>
      <c r="B137" s="11" t="s">
        <v>41</v>
      </c>
      <c r="C137" s="7">
        <v>910046</v>
      </c>
      <c r="D137" s="19" t="s">
        <v>230</v>
      </c>
      <c r="E137" s="8"/>
    </row>
    <row r="138" spans="1:5" s="18" customFormat="1">
      <c r="A138" s="11" t="s">
        <v>40</v>
      </c>
      <c r="B138" s="11" t="s">
        <v>41</v>
      </c>
      <c r="C138" s="7">
        <v>910047</v>
      </c>
      <c r="D138" s="19" t="s">
        <v>663</v>
      </c>
      <c r="E138" s="8"/>
    </row>
    <row r="139" spans="1:5" s="18" customFormat="1">
      <c r="A139" s="11" t="s">
        <v>40</v>
      </c>
      <c r="B139" s="11" t="s">
        <v>41</v>
      </c>
      <c r="C139" s="7">
        <v>910048</v>
      </c>
      <c r="D139" s="19" t="s">
        <v>664</v>
      </c>
      <c r="E139" s="8">
        <v>2</v>
      </c>
    </row>
    <row r="140" spans="1:5" s="18" customFormat="1">
      <c r="A140" s="11" t="s">
        <v>40</v>
      </c>
      <c r="B140" s="11" t="s">
        <v>41</v>
      </c>
      <c r="C140" s="7">
        <v>910049</v>
      </c>
      <c r="D140" s="19" t="s">
        <v>192</v>
      </c>
      <c r="E140" s="8">
        <v>7</v>
      </c>
    </row>
    <row r="141" spans="1:5" s="18" customFormat="1">
      <c r="A141" s="11" t="s">
        <v>40</v>
      </c>
      <c r="B141" s="11" t="s">
        <v>41</v>
      </c>
      <c r="C141" s="7">
        <v>910050</v>
      </c>
      <c r="D141" s="19" t="s">
        <v>336</v>
      </c>
      <c r="E141" s="8"/>
    </row>
    <row r="142" spans="1:5" s="18" customFormat="1">
      <c r="A142" s="11" t="s">
        <v>40</v>
      </c>
      <c r="B142" s="11" t="s">
        <v>41</v>
      </c>
      <c r="C142" s="7">
        <v>910051</v>
      </c>
      <c r="D142" s="19" t="s">
        <v>193</v>
      </c>
      <c r="E142" s="8"/>
    </row>
    <row r="143" spans="1:5" s="18" customFormat="1">
      <c r="A143" s="11" t="s">
        <v>40</v>
      </c>
      <c r="B143" s="11" t="s">
        <v>41</v>
      </c>
      <c r="C143" s="7">
        <v>910052</v>
      </c>
      <c r="D143" s="19" t="s">
        <v>258</v>
      </c>
      <c r="E143" s="8">
        <v>7</v>
      </c>
    </row>
    <row r="144" spans="1:5" s="18" customFormat="1">
      <c r="A144" s="11" t="s">
        <v>40</v>
      </c>
      <c r="B144" s="11" t="s">
        <v>41</v>
      </c>
      <c r="C144" s="7">
        <v>910053</v>
      </c>
      <c r="D144" s="19" t="s">
        <v>259</v>
      </c>
      <c r="E144" s="8">
        <v>8</v>
      </c>
    </row>
    <row r="145" spans="1:5" s="18" customFormat="1">
      <c r="A145" s="11" t="s">
        <v>40</v>
      </c>
      <c r="B145" s="11" t="s">
        <v>41</v>
      </c>
      <c r="C145" s="7">
        <v>910054</v>
      </c>
      <c r="D145" s="19" t="s">
        <v>496</v>
      </c>
      <c r="E145" s="8"/>
    </row>
    <row r="146" spans="1:5" s="18" customFormat="1">
      <c r="A146" s="11" t="s">
        <v>40</v>
      </c>
      <c r="B146" s="11" t="s">
        <v>41</v>
      </c>
      <c r="C146" s="7">
        <v>910055</v>
      </c>
      <c r="D146" s="19" t="s">
        <v>257</v>
      </c>
      <c r="E146" s="8">
        <v>8</v>
      </c>
    </row>
    <row r="147" spans="1:5" s="18" customFormat="1">
      <c r="A147" s="11" t="s">
        <v>40</v>
      </c>
      <c r="B147" s="11" t="s">
        <v>41</v>
      </c>
      <c r="C147" s="7">
        <v>910056</v>
      </c>
      <c r="D147" s="19" t="s">
        <v>43</v>
      </c>
      <c r="E147" s="8">
        <v>12</v>
      </c>
    </row>
    <row r="148" spans="1:5" s="18" customFormat="1">
      <c r="A148" s="11" t="s">
        <v>40</v>
      </c>
      <c r="B148" s="11" t="s">
        <v>41</v>
      </c>
      <c r="C148" s="7">
        <v>910057</v>
      </c>
      <c r="D148" s="19" t="s">
        <v>44</v>
      </c>
      <c r="E148" s="8"/>
    </row>
    <row r="149" spans="1:5" s="18" customFormat="1">
      <c r="A149" s="11" t="s">
        <v>40</v>
      </c>
      <c r="B149" s="11" t="s">
        <v>41</v>
      </c>
      <c r="C149" s="7">
        <v>910058</v>
      </c>
      <c r="D149" s="19" t="s">
        <v>337</v>
      </c>
      <c r="E149" s="8"/>
    </row>
    <row r="150" spans="1:5" s="18" customFormat="1">
      <c r="A150" s="11" t="s">
        <v>40</v>
      </c>
      <c r="B150" s="11" t="s">
        <v>41</v>
      </c>
      <c r="C150" s="7">
        <v>910059</v>
      </c>
      <c r="D150" s="19" t="s">
        <v>338</v>
      </c>
      <c r="E150" s="8"/>
    </row>
    <row r="151" spans="1:5" s="18" customFormat="1">
      <c r="A151" s="11" t="s">
        <v>40</v>
      </c>
      <c r="B151" s="11" t="s">
        <v>41</v>
      </c>
      <c r="C151" s="7">
        <v>910060</v>
      </c>
      <c r="D151" s="19" t="s">
        <v>339</v>
      </c>
      <c r="E151" s="8"/>
    </row>
    <row r="152" spans="1:5" s="18" customFormat="1">
      <c r="A152" s="11" t="s">
        <v>40</v>
      </c>
      <c r="B152" s="11" t="s">
        <v>41</v>
      </c>
      <c r="C152" s="7">
        <v>910061</v>
      </c>
      <c r="D152" s="19" t="s">
        <v>340</v>
      </c>
      <c r="E152" s="8"/>
    </row>
    <row r="153" spans="1:5" s="18" customFormat="1">
      <c r="A153" s="11" t="s">
        <v>40</v>
      </c>
      <c r="B153" s="11" t="s">
        <v>41</v>
      </c>
      <c r="C153" s="7">
        <v>910062</v>
      </c>
      <c r="D153" s="19" t="s">
        <v>341</v>
      </c>
      <c r="E153" s="8"/>
    </row>
    <row r="154" spans="1:5" s="18" customFormat="1">
      <c r="A154" s="11" t="s">
        <v>40</v>
      </c>
      <c r="B154" s="11" t="s">
        <v>41</v>
      </c>
      <c r="C154" s="7">
        <v>910063</v>
      </c>
      <c r="D154" s="19" t="s">
        <v>260</v>
      </c>
      <c r="E154" s="8">
        <v>4</v>
      </c>
    </row>
    <row r="155" spans="1:5" s="18" customFormat="1">
      <c r="A155" s="11" t="s">
        <v>40</v>
      </c>
      <c r="B155" s="11" t="s">
        <v>41</v>
      </c>
      <c r="C155" s="7">
        <v>910064</v>
      </c>
      <c r="D155" s="19" t="s">
        <v>261</v>
      </c>
      <c r="E155" s="8"/>
    </row>
    <row r="156" spans="1:5" s="18" customFormat="1">
      <c r="A156" s="11" t="s">
        <v>40</v>
      </c>
      <c r="B156" s="11" t="s">
        <v>41</v>
      </c>
      <c r="C156" s="7">
        <v>910065</v>
      </c>
      <c r="D156" s="19" t="s">
        <v>665</v>
      </c>
      <c r="E156" s="8">
        <v>2</v>
      </c>
    </row>
    <row r="157" spans="1:5" s="18" customFormat="1">
      <c r="A157" s="11" t="s">
        <v>40</v>
      </c>
      <c r="B157" s="11" t="s">
        <v>41</v>
      </c>
      <c r="C157" s="7">
        <v>910066</v>
      </c>
      <c r="D157" s="19" t="s">
        <v>666</v>
      </c>
      <c r="E157" s="8">
        <v>6</v>
      </c>
    </row>
    <row r="158" spans="1:5" s="18" customFormat="1">
      <c r="A158" s="11" t="s">
        <v>40</v>
      </c>
      <c r="B158" s="11" t="s">
        <v>41</v>
      </c>
      <c r="C158" s="7">
        <v>910067</v>
      </c>
      <c r="D158" s="19" t="s">
        <v>667</v>
      </c>
      <c r="E158" s="8">
        <v>6</v>
      </c>
    </row>
    <row r="159" spans="1:5" s="18" customFormat="1">
      <c r="A159" s="11" t="s">
        <v>40</v>
      </c>
      <c r="B159" s="11" t="s">
        <v>41</v>
      </c>
      <c r="C159" s="7">
        <v>910068</v>
      </c>
      <c r="D159" s="19" t="s">
        <v>668</v>
      </c>
      <c r="E159" s="8">
        <v>2</v>
      </c>
    </row>
    <row r="160" spans="1:5" s="18" customFormat="1">
      <c r="A160" s="11" t="s">
        <v>40</v>
      </c>
      <c r="B160" s="11" t="s">
        <v>41</v>
      </c>
      <c r="C160" s="7">
        <v>910069</v>
      </c>
      <c r="D160" s="19" t="s">
        <v>669</v>
      </c>
      <c r="E160" s="8">
        <v>6</v>
      </c>
    </row>
    <row r="161" spans="1:5" s="18" customFormat="1">
      <c r="A161" s="11" t="s">
        <v>40</v>
      </c>
      <c r="B161" s="11" t="s">
        <v>41</v>
      </c>
      <c r="C161" s="7">
        <v>910070</v>
      </c>
      <c r="D161" s="19" t="s">
        <v>670</v>
      </c>
      <c r="E161" s="8">
        <v>2</v>
      </c>
    </row>
    <row r="162" spans="1:5" s="18" customFormat="1">
      <c r="A162" s="11" t="s">
        <v>40</v>
      </c>
      <c r="B162" s="11" t="s">
        <v>41</v>
      </c>
      <c r="C162" s="7">
        <v>910071</v>
      </c>
      <c r="D162" s="19" t="s">
        <v>671</v>
      </c>
      <c r="E162" s="8">
        <v>5</v>
      </c>
    </row>
    <row r="163" spans="1:5" s="18" customFormat="1">
      <c r="A163" s="11" t="s">
        <v>40</v>
      </c>
      <c r="B163" s="11" t="s">
        <v>41</v>
      </c>
      <c r="C163" s="7">
        <v>910072</v>
      </c>
      <c r="D163" s="19" t="s">
        <v>672</v>
      </c>
      <c r="E163" s="8">
        <v>10</v>
      </c>
    </row>
    <row r="164" spans="1:5" s="18" customFormat="1">
      <c r="A164" s="11" t="s">
        <v>40</v>
      </c>
      <c r="B164" s="11" t="s">
        <v>41</v>
      </c>
      <c r="C164" s="7">
        <v>910073</v>
      </c>
      <c r="D164" s="19" t="s">
        <v>673</v>
      </c>
      <c r="E164" s="8">
        <v>6</v>
      </c>
    </row>
    <row r="165" spans="1:5" s="18" customFormat="1">
      <c r="A165" s="11" t="s">
        <v>40</v>
      </c>
      <c r="B165" s="11" t="s">
        <v>41</v>
      </c>
      <c r="C165" s="7">
        <v>910074</v>
      </c>
      <c r="D165" s="19" t="s">
        <v>674</v>
      </c>
      <c r="E165" s="8">
        <v>3</v>
      </c>
    </row>
    <row r="166" spans="1:5" s="18" customFormat="1">
      <c r="A166" s="11" t="s">
        <v>40</v>
      </c>
      <c r="B166" s="11" t="s">
        <v>41</v>
      </c>
      <c r="C166" s="7">
        <v>910075</v>
      </c>
      <c r="D166" s="19" t="s">
        <v>675</v>
      </c>
      <c r="E166" s="8">
        <v>9</v>
      </c>
    </row>
    <row r="167" spans="1:5" s="18" customFormat="1">
      <c r="A167" s="11" t="s">
        <v>40</v>
      </c>
      <c r="B167" s="11" t="s">
        <v>41</v>
      </c>
      <c r="C167" s="7">
        <v>910076</v>
      </c>
      <c r="D167" s="19" t="s">
        <v>676</v>
      </c>
      <c r="E167" s="8">
        <v>3</v>
      </c>
    </row>
    <row r="168" spans="1:5" s="18" customFormat="1">
      <c r="A168" s="11" t="s">
        <v>40</v>
      </c>
      <c r="B168" s="11" t="s">
        <v>41</v>
      </c>
      <c r="C168" s="7">
        <v>990004</v>
      </c>
      <c r="D168" s="19" t="s">
        <v>45</v>
      </c>
      <c r="E168" s="8">
        <v>57</v>
      </c>
    </row>
    <row r="169" spans="1:5" s="18" customFormat="1">
      <c r="A169" s="5" t="s">
        <v>25</v>
      </c>
      <c r="B169" s="5" t="s">
        <v>7</v>
      </c>
      <c r="C169" s="7">
        <v>990062</v>
      </c>
      <c r="D169" s="19" t="s">
        <v>677</v>
      </c>
      <c r="E169" s="8"/>
    </row>
    <row r="170" spans="1:5" s="18" customFormat="1" ht="12.65" customHeight="1">
      <c r="A170" s="11" t="s">
        <v>25</v>
      </c>
      <c r="B170" s="11" t="s">
        <v>7</v>
      </c>
      <c r="C170" s="24">
        <v>990089</v>
      </c>
      <c r="D170" s="40" t="s">
        <v>159</v>
      </c>
      <c r="E170" s="8"/>
    </row>
    <row r="171" spans="1:5" s="18" customFormat="1">
      <c r="A171" s="11" t="s">
        <v>40</v>
      </c>
      <c r="B171" s="11" t="s">
        <v>41</v>
      </c>
      <c r="C171" s="7">
        <v>990097</v>
      </c>
      <c r="D171" s="19" t="s">
        <v>218</v>
      </c>
      <c r="E171" s="8">
        <v>12</v>
      </c>
    </row>
    <row r="172" spans="1:5" s="18" customFormat="1" ht="13">
      <c r="A172" s="11" t="s">
        <v>40</v>
      </c>
      <c r="B172" s="11" t="s">
        <v>41</v>
      </c>
      <c r="C172" s="157">
        <v>990102</v>
      </c>
      <c r="D172" s="158" t="s">
        <v>326</v>
      </c>
      <c r="E172" s="8">
        <v>71</v>
      </c>
    </row>
    <row r="173" spans="1:5" s="18" customFormat="1">
      <c r="A173" s="11" t="s">
        <v>124</v>
      </c>
      <c r="B173" s="11" t="s">
        <v>7</v>
      </c>
      <c r="C173" s="7">
        <v>990114</v>
      </c>
      <c r="D173" s="19" t="s">
        <v>194</v>
      </c>
      <c r="E173" s="8"/>
    </row>
    <row r="174" spans="1:5" s="18" customFormat="1">
      <c r="A174" s="11" t="s">
        <v>40</v>
      </c>
      <c r="B174" s="11" t="s">
        <v>41</v>
      </c>
      <c r="C174" s="7">
        <v>990115</v>
      </c>
      <c r="D174" s="19" t="s">
        <v>51</v>
      </c>
      <c r="E174" s="8">
        <v>43</v>
      </c>
    </row>
    <row r="175" spans="1:5" s="18" customFormat="1">
      <c r="A175" s="11" t="s">
        <v>40</v>
      </c>
      <c r="B175" s="11" t="s">
        <v>41</v>
      </c>
      <c r="C175" s="7">
        <v>990116</v>
      </c>
      <c r="D175" s="19" t="s">
        <v>47</v>
      </c>
      <c r="E175" s="8">
        <v>17</v>
      </c>
    </row>
    <row r="176" spans="1:5" s="18" customFormat="1">
      <c r="A176" s="11" t="s">
        <v>40</v>
      </c>
      <c r="B176" s="11" t="s">
        <v>41</v>
      </c>
      <c r="C176" s="7">
        <v>990117</v>
      </c>
      <c r="D176" s="19" t="s">
        <v>49</v>
      </c>
      <c r="E176" s="8">
        <v>39</v>
      </c>
    </row>
    <row r="177" spans="1:5" s="18" customFormat="1">
      <c r="A177" s="11" t="s">
        <v>124</v>
      </c>
      <c r="B177" s="11" t="s">
        <v>7</v>
      </c>
      <c r="C177" s="7">
        <v>990120</v>
      </c>
      <c r="D177" s="19" t="s">
        <v>678</v>
      </c>
      <c r="E177" s="8"/>
    </row>
    <row r="178" spans="1:5" s="18" customFormat="1">
      <c r="A178" s="11" t="s">
        <v>124</v>
      </c>
      <c r="B178" s="11" t="s">
        <v>7</v>
      </c>
      <c r="C178" s="7">
        <v>990121</v>
      </c>
      <c r="D178" s="19" t="s">
        <v>679</v>
      </c>
      <c r="E178" s="8"/>
    </row>
    <row r="179" spans="1:5" s="18" customFormat="1">
      <c r="A179" s="11" t="s">
        <v>124</v>
      </c>
      <c r="B179" s="11" t="s">
        <v>7</v>
      </c>
      <c r="C179" s="7">
        <v>990125</v>
      </c>
      <c r="D179" s="19" t="s">
        <v>680</v>
      </c>
      <c r="E179" s="8"/>
    </row>
    <row r="180" spans="1:5" s="18" customFormat="1">
      <c r="A180" s="11" t="s">
        <v>6</v>
      </c>
      <c r="B180" s="5" t="s">
        <v>7</v>
      </c>
      <c r="C180" s="7">
        <v>988100005</v>
      </c>
      <c r="D180" s="19" t="s">
        <v>590</v>
      </c>
      <c r="E180" s="8"/>
    </row>
    <row r="181" spans="1:5" s="18" customFormat="1">
      <c r="A181" s="11" t="s">
        <v>6</v>
      </c>
      <c r="B181" s="5" t="s">
        <v>7</v>
      </c>
      <c r="C181" s="7">
        <v>988100006</v>
      </c>
      <c r="D181" s="19" t="s">
        <v>681</v>
      </c>
      <c r="E181" s="8"/>
    </row>
    <row r="182" spans="1:5" s="18" customFormat="1">
      <c r="A182" s="11" t="s">
        <v>6</v>
      </c>
      <c r="B182" s="5" t="s">
        <v>7</v>
      </c>
      <c r="C182" s="7">
        <v>988100021</v>
      </c>
      <c r="D182" s="19" t="s">
        <v>11</v>
      </c>
      <c r="E182" s="8">
        <v>68</v>
      </c>
    </row>
    <row r="183" spans="1:5" s="18" customFormat="1">
      <c r="A183" s="11" t="s">
        <v>6</v>
      </c>
      <c r="B183" s="5" t="s">
        <v>7</v>
      </c>
      <c r="C183" s="7">
        <v>988100024</v>
      </c>
      <c r="D183" s="19" t="s">
        <v>12</v>
      </c>
      <c r="E183" s="8">
        <v>53</v>
      </c>
    </row>
    <row r="184" spans="1:5" s="18" customFormat="1">
      <c r="A184" s="11" t="s">
        <v>6</v>
      </c>
      <c r="B184" s="5" t="s">
        <v>7</v>
      </c>
      <c r="C184" s="7">
        <v>988100025</v>
      </c>
      <c r="D184" s="19" t="s">
        <v>13</v>
      </c>
      <c r="E184" s="8">
        <v>65</v>
      </c>
    </row>
    <row r="185" spans="1:5" s="18" customFormat="1">
      <c r="A185" s="11" t="s">
        <v>6</v>
      </c>
      <c r="B185" s="5" t="s">
        <v>7</v>
      </c>
      <c r="C185" s="7">
        <v>988100026</v>
      </c>
      <c r="D185" s="19" t="s">
        <v>21</v>
      </c>
      <c r="E185" s="8"/>
    </row>
    <row r="186" spans="1:5" s="18" customFormat="1">
      <c r="A186" s="11" t="s">
        <v>89</v>
      </c>
      <c r="B186" s="11" t="s">
        <v>7</v>
      </c>
      <c r="C186" s="7">
        <v>988100034</v>
      </c>
      <c r="D186" s="19" t="s">
        <v>108</v>
      </c>
      <c r="E186" s="8"/>
    </row>
    <row r="187" spans="1:5" s="18" customFormat="1">
      <c r="A187" s="11" t="s">
        <v>89</v>
      </c>
      <c r="B187" s="11" t="s">
        <v>7</v>
      </c>
      <c r="C187" s="7">
        <v>988100035</v>
      </c>
      <c r="D187" s="19" t="s">
        <v>682</v>
      </c>
      <c r="E187" s="8"/>
    </row>
    <row r="188" spans="1:5" s="18" customFormat="1">
      <c r="A188" s="11" t="s">
        <v>89</v>
      </c>
      <c r="B188" s="11" t="s">
        <v>7</v>
      </c>
      <c r="C188" s="7">
        <v>988100036</v>
      </c>
      <c r="D188" s="19" t="s">
        <v>683</v>
      </c>
      <c r="E188" s="8"/>
    </row>
    <row r="189" spans="1:5" s="18" customFormat="1">
      <c r="A189" s="11" t="s">
        <v>89</v>
      </c>
      <c r="B189" s="11" t="s">
        <v>7</v>
      </c>
      <c r="C189" s="7">
        <v>988100040</v>
      </c>
      <c r="D189" s="19" t="s">
        <v>100</v>
      </c>
      <c r="E189" s="8">
        <v>1</v>
      </c>
    </row>
    <row r="190" spans="1:5" s="18" customFormat="1">
      <c r="A190" s="5" t="s">
        <v>25</v>
      </c>
      <c r="B190" s="5" t="s">
        <v>7</v>
      </c>
      <c r="C190" s="7">
        <v>988100046</v>
      </c>
      <c r="D190" s="19" t="s">
        <v>266</v>
      </c>
      <c r="E190" s="8"/>
    </row>
    <row r="191" spans="1:5" s="18" customFormat="1">
      <c r="A191" s="5" t="s">
        <v>25</v>
      </c>
      <c r="B191" s="5" t="s">
        <v>7</v>
      </c>
      <c r="C191" s="7">
        <v>988100048</v>
      </c>
      <c r="D191" s="19" t="s">
        <v>267</v>
      </c>
      <c r="E191" s="8"/>
    </row>
    <row r="192" spans="1:5" s="18" customFormat="1">
      <c r="A192" s="11" t="s">
        <v>40</v>
      </c>
      <c r="B192" s="11" t="s">
        <v>41</v>
      </c>
      <c r="C192" s="7">
        <v>988100056</v>
      </c>
      <c r="D192" s="19" t="s">
        <v>684</v>
      </c>
      <c r="E192" s="8"/>
    </row>
    <row r="193" spans="1:5" s="18" customFormat="1">
      <c r="A193" s="5" t="s">
        <v>25</v>
      </c>
      <c r="B193" s="11" t="s">
        <v>41</v>
      </c>
      <c r="C193" s="7">
        <v>988100060</v>
      </c>
      <c r="D193" s="19" t="s">
        <v>685</v>
      </c>
      <c r="E193" s="8">
        <v>3</v>
      </c>
    </row>
    <row r="194" spans="1:5" s="18" customFormat="1">
      <c r="A194" s="5" t="s">
        <v>25</v>
      </c>
      <c r="B194" s="5" t="s">
        <v>7</v>
      </c>
      <c r="C194" s="7">
        <v>988100063</v>
      </c>
      <c r="D194" s="19" t="s">
        <v>686</v>
      </c>
      <c r="E194" s="8"/>
    </row>
    <row r="195" spans="1:5" s="18" customFormat="1">
      <c r="A195" s="11" t="s">
        <v>40</v>
      </c>
      <c r="B195" s="11" t="s">
        <v>41</v>
      </c>
      <c r="C195" s="7">
        <v>988100066</v>
      </c>
      <c r="D195" s="19" t="s">
        <v>63</v>
      </c>
      <c r="E195" s="8">
        <v>53</v>
      </c>
    </row>
    <row r="196" spans="1:5" s="18" customFormat="1" ht="13">
      <c r="A196" s="11" t="s">
        <v>40</v>
      </c>
      <c r="B196" s="11" t="s">
        <v>41</v>
      </c>
      <c r="C196" s="7">
        <v>988100067</v>
      </c>
      <c r="D196" s="158" t="s">
        <v>687</v>
      </c>
      <c r="E196" s="8"/>
    </row>
    <row r="197" spans="1:5" s="18" customFormat="1">
      <c r="A197" s="11" t="s">
        <v>40</v>
      </c>
      <c r="B197" s="11" t="s">
        <v>41</v>
      </c>
      <c r="C197" s="7">
        <v>988100068</v>
      </c>
      <c r="D197" s="19" t="s">
        <v>65</v>
      </c>
      <c r="E197" s="8">
        <v>24</v>
      </c>
    </row>
    <row r="198" spans="1:5" s="18" customFormat="1">
      <c r="A198" s="5" t="s">
        <v>25</v>
      </c>
      <c r="B198" s="5" t="s">
        <v>7</v>
      </c>
      <c r="C198" s="7">
        <v>988100077</v>
      </c>
      <c r="D198" s="19" t="s">
        <v>688</v>
      </c>
      <c r="E198" s="8"/>
    </row>
    <row r="199" spans="1:5" s="18" customFormat="1">
      <c r="A199" s="11" t="s">
        <v>40</v>
      </c>
      <c r="B199" s="11" t="s">
        <v>41</v>
      </c>
      <c r="C199" s="7">
        <v>988100088</v>
      </c>
      <c r="D199" s="19" t="s">
        <v>69</v>
      </c>
      <c r="E199" s="8">
        <v>59</v>
      </c>
    </row>
    <row r="200" spans="1:5" s="18" customFormat="1">
      <c r="A200" s="5" t="s">
        <v>25</v>
      </c>
      <c r="B200" s="5" t="s">
        <v>7</v>
      </c>
      <c r="C200" s="7">
        <v>988100092</v>
      </c>
      <c r="D200" s="19" t="s">
        <v>689</v>
      </c>
      <c r="E200" s="8"/>
    </row>
    <row r="201" spans="1:5" s="18" customFormat="1">
      <c r="A201" s="11" t="s">
        <v>89</v>
      </c>
      <c r="B201" s="11" t="s">
        <v>7</v>
      </c>
      <c r="C201" s="7">
        <v>988100100</v>
      </c>
      <c r="D201" s="19" t="s">
        <v>97</v>
      </c>
      <c r="E201" s="8">
        <v>15</v>
      </c>
    </row>
    <row r="202" spans="1:5" s="18" customFormat="1">
      <c r="A202" s="11" t="s">
        <v>6</v>
      </c>
      <c r="B202" s="11" t="s">
        <v>7</v>
      </c>
      <c r="C202" s="7">
        <v>988100123</v>
      </c>
      <c r="D202" s="19" t="s">
        <v>690</v>
      </c>
      <c r="E202" s="8">
        <v>34</v>
      </c>
    </row>
    <row r="203" spans="1:5" s="18" customFormat="1" ht="13">
      <c r="A203" s="11" t="s">
        <v>40</v>
      </c>
      <c r="B203" s="11" t="s">
        <v>41</v>
      </c>
      <c r="C203" s="7">
        <v>988100124</v>
      </c>
      <c r="D203" s="158" t="s">
        <v>67</v>
      </c>
      <c r="E203" s="8">
        <v>73</v>
      </c>
    </row>
    <row r="204" spans="1:5" s="18" customFormat="1">
      <c r="A204" s="5" t="s">
        <v>25</v>
      </c>
      <c r="B204" s="5" t="s">
        <v>7</v>
      </c>
      <c r="C204" s="7">
        <v>988100125</v>
      </c>
      <c r="D204" s="19" t="s">
        <v>691</v>
      </c>
      <c r="E204" s="8"/>
    </row>
    <row r="205" spans="1:5" s="18" customFormat="1">
      <c r="A205" s="5" t="s">
        <v>25</v>
      </c>
      <c r="B205" s="5" t="s">
        <v>7</v>
      </c>
      <c r="C205" s="7">
        <v>988100126</v>
      </c>
      <c r="D205" s="19" t="s">
        <v>692</v>
      </c>
      <c r="E205" s="8"/>
    </row>
    <row r="206" spans="1:5" s="18" customFormat="1">
      <c r="A206" s="5" t="s">
        <v>25</v>
      </c>
      <c r="B206" s="5" t="s">
        <v>7</v>
      </c>
      <c r="C206" s="7">
        <v>988100127</v>
      </c>
      <c r="D206" s="19" t="s">
        <v>693</v>
      </c>
      <c r="E206" s="8"/>
    </row>
    <row r="207" spans="1:5" s="18" customFormat="1">
      <c r="A207" s="5" t="s">
        <v>25</v>
      </c>
      <c r="B207" s="5" t="s">
        <v>7</v>
      </c>
      <c r="C207" s="7">
        <v>988100128</v>
      </c>
      <c r="D207" s="19" t="s">
        <v>694</v>
      </c>
      <c r="E207" s="8"/>
    </row>
    <row r="208" spans="1:5" s="18" customFormat="1">
      <c r="A208" s="5" t="s">
        <v>25</v>
      </c>
      <c r="B208" s="5" t="s">
        <v>7</v>
      </c>
      <c r="C208" s="7">
        <v>988100130</v>
      </c>
      <c r="D208" s="19" t="s">
        <v>695</v>
      </c>
      <c r="E208" s="8"/>
    </row>
    <row r="209" spans="1:5" s="18" customFormat="1">
      <c r="A209" s="11" t="s">
        <v>89</v>
      </c>
      <c r="B209" s="11" t="s">
        <v>7</v>
      </c>
      <c r="C209" s="7">
        <v>988100131</v>
      </c>
      <c r="D209" s="19" t="s">
        <v>696</v>
      </c>
      <c r="E209" s="8"/>
    </row>
    <row r="210" spans="1:5" s="18" customFormat="1">
      <c r="A210" s="11" t="s">
        <v>89</v>
      </c>
      <c r="B210" s="11" t="s">
        <v>7</v>
      </c>
      <c r="C210" s="7">
        <v>988100132</v>
      </c>
      <c r="D210" s="19" t="s">
        <v>96</v>
      </c>
      <c r="E210" s="8">
        <v>53</v>
      </c>
    </row>
    <row r="211" spans="1:5" s="18" customFormat="1">
      <c r="A211" s="11" t="s">
        <v>6</v>
      </c>
      <c r="B211" s="5" t="s">
        <v>7</v>
      </c>
      <c r="C211" s="7">
        <v>988100133</v>
      </c>
      <c r="D211" s="19" t="s">
        <v>697</v>
      </c>
      <c r="E211" s="8"/>
    </row>
    <row r="212" spans="1:5" s="18" customFormat="1">
      <c r="A212" s="11" t="s">
        <v>6</v>
      </c>
      <c r="B212" s="11" t="s">
        <v>7</v>
      </c>
      <c r="C212" s="17">
        <v>988100134</v>
      </c>
      <c r="D212" s="7" t="s">
        <v>698</v>
      </c>
      <c r="E212" s="8"/>
    </row>
    <row r="213" spans="1:5" s="18" customFormat="1">
      <c r="A213" s="11" t="s">
        <v>89</v>
      </c>
      <c r="B213" s="11" t="s">
        <v>7</v>
      </c>
      <c r="C213" s="7">
        <v>988100137</v>
      </c>
      <c r="D213" s="19" t="s">
        <v>98</v>
      </c>
      <c r="E213" s="8">
        <v>16</v>
      </c>
    </row>
    <row r="214" spans="1:5" s="18" customFormat="1">
      <c r="A214" s="5" t="s">
        <v>25</v>
      </c>
      <c r="B214" s="5" t="s">
        <v>7</v>
      </c>
      <c r="C214" s="7">
        <v>988100138</v>
      </c>
      <c r="D214" s="19" t="s">
        <v>699</v>
      </c>
      <c r="E214" s="8"/>
    </row>
    <row r="215" spans="1:5" s="18" customFormat="1">
      <c r="A215" s="11" t="s">
        <v>40</v>
      </c>
      <c r="B215" s="11" t="s">
        <v>41</v>
      </c>
      <c r="C215" s="7">
        <v>988100139</v>
      </c>
      <c r="D215" s="19" t="s">
        <v>700</v>
      </c>
      <c r="E215" s="8"/>
    </row>
    <row r="216" spans="1:5" s="18" customFormat="1">
      <c r="A216" s="11" t="s">
        <v>40</v>
      </c>
      <c r="B216" s="11" t="s">
        <v>41</v>
      </c>
      <c r="C216" s="7">
        <v>988100140</v>
      </c>
      <c r="D216" s="19" t="s">
        <v>701</v>
      </c>
      <c r="E216" s="8"/>
    </row>
    <row r="217" spans="1:5" s="18" customFormat="1">
      <c r="A217" s="11" t="s">
        <v>309</v>
      </c>
      <c r="B217" s="11" t="s">
        <v>41</v>
      </c>
      <c r="C217" s="7">
        <v>988100213</v>
      </c>
      <c r="D217" s="19" t="s">
        <v>350</v>
      </c>
      <c r="E217" s="8"/>
    </row>
    <row r="218" spans="1:5" s="18" customFormat="1">
      <c r="A218" s="11" t="s">
        <v>309</v>
      </c>
      <c r="B218" s="11" t="s">
        <v>41</v>
      </c>
      <c r="C218" s="7">
        <v>988100214</v>
      </c>
      <c r="D218" s="19" t="s">
        <v>345</v>
      </c>
      <c r="E218" s="8"/>
    </row>
    <row r="219" spans="1:5" s="18" customFormat="1">
      <c r="A219" s="11" t="s">
        <v>309</v>
      </c>
      <c r="B219" s="11" t="s">
        <v>41</v>
      </c>
      <c r="C219" s="7">
        <v>988100215</v>
      </c>
      <c r="D219" s="19" t="s">
        <v>348</v>
      </c>
      <c r="E219" s="8"/>
    </row>
    <row r="220" spans="1:5" s="18" customFormat="1">
      <c r="A220" s="11" t="s">
        <v>309</v>
      </c>
      <c r="B220" s="11" t="s">
        <v>41</v>
      </c>
      <c r="C220" s="7">
        <v>988100216</v>
      </c>
      <c r="D220" s="19" t="s">
        <v>351</v>
      </c>
      <c r="E220" s="8"/>
    </row>
    <row r="221" spans="1:5" s="18" customFormat="1">
      <c r="A221" s="11" t="s">
        <v>309</v>
      </c>
      <c r="B221" s="11" t="s">
        <v>41</v>
      </c>
      <c r="C221" s="7">
        <v>988100217</v>
      </c>
      <c r="D221" s="19" t="s">
        <v>346</v>
      </c>
      <c r="E221" s="8"/>
    </row>
    <row r="222" spans="1:5" s="18" customFormat="1">
      <c r="A222" s="11" t="s">
        <v>309</v>
      </c>
      <c r="B222" s="11" t="s">
        <v>41</v>
      </c>
      <c r="C222" s="7">
        <v>988100218</v>
      </c>
      <c r="D222" s="19" t="s">
        <v>343</v>
      </c>
      <c r="E222" s="8"/>
    </row>
    <row r="223" spans="1:5" s="18" customFormat="1">
      <c r="A223" s="11" t="s">
        <v>309</v>
      </c>
      <c r="B223" s="11" t="s">
        <v>41</v>
      </c>
      <c r="C223" s="7">
        <v>988100219</v>
      </c>
      <c r="D223" s="19" t="s">
        <v>349</v>
      </c>
      <c r="E223" s="8"/>
    </row>
    <row r="224" spans="1:5" s="18" customFormat="1">
      <c r="A224" s="11" t="s">
        <v>309</v>
      </c>
      <c r="B224" s="11" t="s">
        <v>41</v>
      </c>
      <c r="C224" s="7">
        <v>988100220</v>
      </c>
      <c r="D224" s="19" t="s">
        <v>347</v>
      </c>
      <c r="E224" s="8"/>
    </row>
    <row r="225" spans="1:5" s="18" customFormat="1">
      <c r="A225" s="11" t="s">
        <v>309</v>
      </c>
      <c r="B225" s="11" t="s">
        <v>41</v>
      </c>
      <c r="C225" s="7">
        <v>988100221</v>
      </c>
      <c r="D225" s="19" t="s">
        <v>344</v>
      </c>
      <c r="E225" s="8"/>
    </row>
    <row r="226" spans="1:5" s="18" customFormat="1">
      <c r="A226" s="11" t="s">
        <v>309</v>
      </c>
      <c r="B226" s="11" t="s">
        <v>41</v>
      </c>
      <c r="C226" s="7">
        <v>988100222</v>
      </c>
      <c r="D226" s="19" t="s">
        <v>313</v>
      </c>
      <c r="E226" s="8"/>
    </row>
    <row r="227" spans="1:5" s="18" customFormat="1">
      <c r="A227" s="11" t="s">
        <v>309</v>
      </c>
      <c r="B227" s="11" t="s">
        <v>41</v>
      </c>
      <c r="C227" s="7">
        <v>988100253</v>
      </c>
      <c r="D227" s="17" t="s">
        <v>342</v>
      </c>
      <c r="E227" s="8"/>
    </row>
    <row r="228" spans="1:5" s="18" customFormat="1">
      <c r="A228" s="11" t="s">
        <v>309</v>
      </c>
      <c r="B228" s="11" t="s">
        <v>41</v>
      </c>
      <c r="C228" s="7">
        <v>988100276</v>
      </c>
      <c r="D228" s="19" t="s">
        <v>433</v>
      </c>
      <c r="E228" s="8"/>
    </row>
    <row r="229" spans="1:5" s="18" customFormat="1">
      <c r="A229" s="11" t="s">
        <v>309</v>
      </c>
      <c r="B229" s="11" t="s">
        <v>41</v>
      </c>
      <c r="C229" s="7">
        <v>988100343</v>
      </c>
      <c r="D229" s="17" t="s">
        <v>312</v>
      </c>
      <c r="E229" s="8"/>
    </row>
    <row r="230" spans="1:5" s="18" customFormat="1">
      <c r="A230" s="11" t="s">
        <v>309</v>
      </c>
      <c r="B230" s="11" t="s">
        <v>41</v>
      </c>
      <c r="C230" s="7">
        <v>988100345</v>
      </c>
      <c r="D230" s="17" t="s">
        <v>357</v>
      </c>
      <c r="E230" s="8"/>
    </row>
    <row r="231" spans="1:5" s="18" customFormat="1">
      <c r="A231" s="11" t="s">
        <v>309</v>
      </c>
      <c r="B231" s="11" t="s">
        <v>41</v>
      </c>
      <c r="C231" s="7">
        <v>988100346</v>
      </c>
      <c r="D231" s="19" t="s">
        <v>358</v>
      </c>
      <c r="E231" s="8"/>
    </row>
    <row r="232" spans="1:5" s="18" customFormat="1">
      <c r="A232" s="11" t="s">
        <v>309</v>
      </c>
      <c r="B232" s="11" t="s">
        <v>41</v>
      </c>
      <c r="C232" s="7">
        <v>988100347</v>
      </c>
      <c r="D232" s="17" t="s">
        <v>359</v>
      </c>
      <c r="E232" s="8"/>
    </row>
    <row r="233" spans="1:5" s="18" customFormat="1">
      <c r="A233" s="11" t="s">
        <v>309</v>
      </c>
      <c r="B233" s="11" t="s">
        <v>41</v>
      </c>
      <c r="C233" s="7">
        <v>988100348</v>
      </c>
      <c r="D233" s="17" t="s">
        <v>360</v>
      </c>
      <c r="E233" s="8"/>
    </row>
    <row r="234" spans="1:5" s="18" customFormat="1">
      <c r="A234" s="11" t="s">
        <v>309</v>
      </c>
      <c r="B234" s="11" t="s">
        <v>41</v>
      </c>
      <c r="C234" s="7">
        <v>988100349</v>
      </c>
      <c r="D234" s="19" t="s">
        <v>361</v>
      </c>
      <c r="E234" s="8"/>
    </row>
    <row r="235" spans="1:5" s="18" customFormat="1">
      <c r="A235" s="11" t="s">
        <v>309</v>
      </c>
      <c r="B235" s="11" t="s">
        <v>41</v>
      </c>
      <c r="C235" s="7">
        <v>988100350</v>
      </c>
      <c r="D235" s="19" t="s">
        <v>362</v>
      </c>
      <c r="E235" s="8"/>
    </row>
    <row r="236" spans="1:5" s="18" customFormat="1">
      <c r="A236" s="11" t="s">
        <v>309</v>
      </c>
      <c r="B236" s="11" t="s">
        <v>41</v>
      </c>
      <c r="C236" s="7">
        <v>988100351</v>
      </c>
      <c r="D236" s="19" t="s">
        <v>363</v>
      </c>
      <c r="E236" s="8"/>
    </row>
    <row r="237" spans="1:5" s="18" customFormat="1">
      <c r="A237" s="11" t="s">
        <v>309</v>
      </c>
      <c r="B237" s="11" t="s">
        <v>41</v>
      </c>
      <c r="C237" s="7">
        <v>988100352</v>
      </c>
      <c r="D237" s="19" t="s">
        <v>364</v>
      </c>
      <c r="E237" s="8"/>
    </row>
    <row r="238" spans="1:5" s="18" customFormat="1">
      <c r="A238" s="11" t="s">
        <v>309</v>
      </c>
      <c r="B238" s="11" t="s">
        <v>41</v>
      </c>
      <c r="C238" s="7">
        <v>988100353</v>
      </c>
      <c r="D238" s="19" t="s">
        <v>365</v>
      </c>
      <c r="E238" s="8"/>
    </row>
    <row r="239" spans="1:5" s="18" customFormat="1">
      <c r="A239" s="11" t="s">
        <v>309</v>
      </c>
      <c r="B239" s="11" t="s">
        <v>41</v>
      </c>
      <c r="C239" s="7">
        <v>988100354</v>
      </c>
      <c r="D239" s="19" t="s">
        <v>366</v>
      </c>
      <c r="E239" s="8"/>
    </row>
    <row r="240" spans="1:5" s="18" customFormat="1">
      <c r="A240" s="11" t="s">
        <v>309</v>
      </c>
      <c r="B240" s="11" t="s">
        <v>41</v>
      </c>
      <c r="C240" s="7">
        <v>988100355</v>
      </c>
      <c r="D240" s="19" t="s">
        <v>310</v>
      </c>
      <c r="E240" s="8"/>
    </row>
    <row r="241" spans="1:5" s="18" customFormat="1">
      <c r="A241" s="11" t="s">
        <v>309</v>
      </c>
      <c r="B241" s="11" t="s">
        <v>41</v>
      </c>
      <c r="C241" s="7">
        <v>988100356</v>
      </c>
      <c r="D241" s="19" t="s">
        <v>367</v>
      </c>
      <c r="E241" s="8"/>
    </row>
    <row r="242" spans="1:5" s="18" customFormat="1">
      <c r="A242" s="11" t="s">
        <v>309</v>
      </c>
      <c r="B242" s="11" t="s">
        <v>41</v>
      </c>
      <c r="C242" s="7">
        <v>988100357</v>
      </c>
      <c r="D242" s="19" t="s">
        <v>368</v>
      </c>
      <c r="E242" s="8"/>
    </row>
    <row r="243" spans="1:5" s="18" customFormat="1">
      <c r="A243" s="11" t="s">
        <v>309</v>
      </c>
      <c r="B243" s="11" t="s">
        <v>41</v>
      </c>
      <c r="C243" s="7">
        <v>988100358</v>
      </c>
      <c r="D243" s="19" t="s">
        <v>369</v>
      </c>
      <c r="E243" s="8"/>
    </row>
    <row r="244" spans="1:5" s="18" customFormat="1">
      <c r="A244" s="11" t="s">
        <v>309</v>
      </c>
      <c r="B244" s="11" t="s">
        <v>41</v>
      </c>
      <c r="C244" s="7">
        <v>988100359</v>
      </c>
      <c r="D244" s="19" t="s">
        <v>370</v>
      </c>
      <c r="E244" s="8"/>
    </row>
    <row r="245" spans="1:5" s="18" customFormat="1">
      <c r="A245" s="11" t="s">
        <v>309</v>
      </c>
      <c r="B245" s="11" t="s">
        <v>41</v>
      </c>
      <c r="C245" s="7">
        <v>988100360</v>
      </c>
      <c r="D245" s="19" t="s">
        <v>371</v>
      </c>
      <c r="E245" s="8"/>
    </row>
    <row r="246" spans="1:5" s="18" customFormat="1">
      <c r="A246" s="11" t="s">
        <v>309</v>
      </c>
      <c r="B246" s="11" t="s">
        <v>41</v>
      </c>
      <c r="C246" s="7">
        <v>988100361</v>
      </c>
      <c r="D246" s="19" t="s">
        <v>372</v>
      </c>
      <c r="E246" s="8"/>
    </row>
    <row r="247" spans="1:5" s="18" customFormat="1">
      <c r="A247" s="11" t="s">
        <v>309</v>
      </c>
      <c r="B247" s="11" t="s">
        <v>41</v>
      </c>
      <c r="C247" s="7">
        <v>988100362</v>
      </c>
      <c r="D247" s="19" t="s">
        <v>373</v>
      </c>
      <c r="E247" s="8"/>
    </row>
    <row r="248" spans="1:5" s="18" customFormat="1">
      <c r="A248" s="11" t="s">
        <v>309</v>
      </c>
      <c r="B248" s="11" t="s">
        <v>41</v>
      </c>
      <c r="C248" s="7">
        <v>988100363</v>
      </c>
      <c r="D248" s="19" t="s">
        <v>374</v>
      </c>
      <c r="E248" s="8"/>
    </row>
    <row r="249" spans="1:5" s="18" customFormat="1">
      <c r="A249" s="11" t="s">
        <v>309</v>
      </c>
      <c r="B249" s="11" t="s">
        <v>41</v>
      </c>
      <c r="C249" s="7">
        <v>988100364</v>
      </c>
      <c r="D249" s="19" t="s">
        <v>375</v>
      </c>
      <c r="E249" s="8"/>
    </row>
    <row r="250" spans="1:5" s="18" customFormat="1">
      <c r="A250" s="11" t="s">
        <v>309</v>
      </c>
      <c r="B250" s="11" t="s">
        <v>41</v>
      </c>
      <c r="C250" s="7">
        <v>988100365</v>
      </c>
      <c r="D250" s="19" t="s">
        <v>376</v>
      </c>
      <c r="E250" s="8"/>
    </row>
    <row r="251" spans="1:5" s="18" customFormat="1">
      <c r="A251" s="11" t="s">
        <v>309</v>
      </c>
      <c r="B251" s="11" t="s">
        <v>41</v>
      </c>
      <c r="C251" s="7">
        <v>988100366</v>
      </c>
      <c r="D251" s="19" t="s">
        <v>377</v>
      </c>
      <c r="E251" s="8"/>
    </row>
    <row r="252" spans="1:5" s="18" customFormat="1">
      <c r="A252" s="11" t="s">
        <v>309</v>
      </c>
      <c r="B252" s="11" t="s">
        <v>41</v>
      </c>
      <c r="C252" s="7">
        <v>988100368</v>
      </c>
      <c r="D252" s="17" t="s">
        <v>378</v>
      </c>
      <c r="E252" s="8"/>
    </row>
    <row r="253" spans="1:5" s="18" customFormat="1">
      <c r="A253" s="11" t="s">
        <v>309</v>
      </c>
      <c r="B253" s="11" t="s">
        <v>41</v>
      </c>
      <c r="C253" s="7">
        <v>988100369</v>
      </c>
      <c r="D253" s="17" t="s">
        <v>379</v>
      </c>
      <c r="E253" s="8"/>
    </row>
    <row r="254" spans="1:5" s="18" customFormat="1">
      <c r="A254" s="11" t="s">
        <v>309</v>
      </c>
      <c r="B254" s="11" t="s">
        <v>41</v>
      </c>
      <c r="C254" s="7">
        <v>988100370</v>
      </c>
      <c r="D254" s="17" t="s">
        <v>527</v>
      </c>
      <c r="E254" s="8"/>
    </row>
    <row r="255" spans="1:5" s="18" customFormat="1">
      <c r="A255" s="11" t="s">
        <v>309</v>
      </c>
      <c r="B255" s="11" t="s">
        <v>41</v>
      </c>
      <c r="C255" s="7">
        <v>988100371</v>
      </c>
      <c r="D255" s="17" t="s">
        <v>381</v>
      </c>
      <c r="E255" s="8"/>
    </row>
    <row r="256" spans="1:5" s="18" customFormat="1">
      <c r="A256" s="11" t="s">
        <v>309</v>
      </c>
      <c r="B256" s="11" t="s">
        <v>41</v>
      </c>
      <c r="C256" s="7">
        <v>988100372</v>
      </c>
      <c r="D256" s="17" t="s">
        <v>382</v>
      </c>
      <c r="E256" s="8"/>
    </row>
    <row r="257" spans="1:5" s="18" customFormat="1">
      <c r="A257" s="11" t="s">
        <v>309</v>
      </c>
      <c r="B257" s="11" t="s">
        <v>41</v>
      </c>
      <c r="C257" s="7">
        <v>988100373</v>
      </c>
      <c r="D257" s="17" t="s">
        <v>383</v>
      </c>
      <c r="E257" s="8"/>
    </row>
    <row r="258" spans="1:5" s="18" customFormat="1">
      <c r="A258" s="11" t="s">
        <v>309</v>
      </c>
      <c r="B258" s="11" t="s">
        <v>41</v>
      </c>
      <c r="C258" s="7">
        <v>988100374</v>
      </c>
      <c r="D258" s="17" t="s">
        <v>384</v>
      </c>
      <c r="E258" s="8"/>
    </row>
    <row r="259" spans="1:5" s="18" customFormat="1">
      <c r="A259" s="11" t="s">
        <v>309</v>
      </c>
      <c r="B259" s="11" t="s">
        <v>41</v>
      </c>
      <c r="C259" s="7">
        <v>988100375</v>
      </c>
      <c r="D259" s="17" t="s">
        <v>385</v>
      </c>
      <c r="E259" s="8"/>
    </row>
    <row r="260" spans="1:5" s="18" customFormat="1">
      <c r="A260" s="11" t="s">
        <v>309</v>
      </c>
      <c r="B260" s="11" t="s">
        <v>41</v>
      </c>
      <c r="C260" s="7">
        <v>988100376</v>
      </c>
      <c r="D260" s="17" t="s">
        <v>386</v>
      </c>
      <c r="E260" s="8"/>
    </row>
    <row r="261" spans="1:5" s="18" customFormat="1">
      <c r="A261" s="11" t="s">
        <v>309</v>
      </c>
      <c r="B261" s="11" t="s">
        <v>41</v>
      </c>
      <c r="C261" s="7">
        <v>988100377</v>
      </c>
      <c r="D261" s="17" t="s">
        <v>387</v>
      </c>
      <c r="E261" s="8"/>
    </row>
    <row r="262" spans="1:5" s="18" customFormat="1">
      <c r="A262" s="11" t="s">
        <v>309</v>
      </c>
      <c r="B262" s="11" t="s">
        <v>41</v>
      </c>
      <c r="C262" s="7">
        <v>988100378</v>
      </c>
      <c r="D262" s="17" t="s">
        <v>388</v>
      </c>
      <c r="E262" s="8"/>
    </row>
    <row r="263" spans="1:5" s="18" customFormat="1">
      <c r="A263" s="11" t="s">
        <v>309</v>
      </c>
      <c r="B263" s="11" t="s">
        <v>41</v>
      </c>
      <c r="C263" s="70">
        <v>988100379</v>
      </c>
      <c r="D263" s="127" t="s">
        <v>389</v>
      </c>
      <c r="E263" s="8"/>
    </row>
    <row r="264" spans="1:5" s="18" customFormat="1">
      <c r="A264" s="11" t="s">
        <v>309</v>
      </c>
      <c r="B264" s="11" t="s">
        <v>41</v>
      </c>
      <c r="C264" s="7">
        <v>988100380</v>
      </c>
      <c r="D264" s="17" t="s">
        <v>390</v>
      </c>
      <c r="E264" s="8"/>
    </row>
    <row r="265" spans="1:5" s="18" customFormat="1">
      <c r="A265" s="11" t="s">
        <v>309</v>
      </c>
      <c r="B265" s="11" t="s">
        <v>41</v>
      </c>
      <c r="C265" s="7">
        <v>988100381</v>
      </c>
      <c r="D265" s="17" t="s">
        <v>391</v>
      </c>
      <c r="E265" s="8"/>
    </row>
    <row r="266" spans="1:5" s="18" customFormat="1">
      <c r="A266" s="11" t="s">
        <v>309</v>
      </c>
      <c r="B266" s="11" t="s">
        <v>41</v>
      </c>
      <c r="C266" s="7">
        <v>988100382</v>
      </c>
      <c r="D266" s="17" t="s">
        <v>392</v>
      </c>
      <c r="E266" s="8"/>
    </row>
    <row r="267" spans="1:5" s="18" customFormat="1">
      <c r="A267" s="11" t="s">
        <v>309</v>
      </c>
      <c r="B267" s="11" t="s">
        <v>41</v>
      </c>
      <c r="C267" s="7">
        <v>988100383</v>
      </c>
      <c r="D267" s="17" t="s">
        <v>393</v>
      </c>
      <c r="E267" s="8"/>
    </row>
    <row r="268" spans="1:5" s="18" customFormat="1">
      <c r="A268" s="11" t="s">
        <v>309</v>
      </c>
      <c r="B268" s="11" t="s">
        <v>41</v>
      </c>
      <c r="C268" s="7">
        <v>988100384</v>
      </c>
      <c r="D268" s="17" t="s">
        <v>394</v>
      </c>
      <c r="E268" s="8"/>
    </row>
    <row r="269" spans="1:5" s="18" customFormat="1">
      <c r="A269" s="11" t="s">
        <v>309</v>
      </c>
      <c r="B269" s="11" t="s">
        <v>41</v>
      </c>
      <c r="C269" s="7">
        <v>988100385</v>
      </c>
      <c r="D269" s="17" t="s">
        <v>395</v>
      </c>
      <c r="E269" s="8"/>
    </row>
    <row r="270" spans="1:5" s="18" customFormat="1">
      <c r="A270" s="11" t="s">
        <v>309</v>
      </c>
      <c r="B270" s="11" t="s">
        <v>41</v>
      </c>
      <c r="C270" s="7">
        <v>988100386</v>
      </c>
      <c r="D270" s="17" t="s">
        <v>702</v>
      </c>
      <c r="E270" s="8"/>
    </row>
    <row r="271" spans="1:5" s="18" customFormat="1">
      <c r="A271" s="11" t="s">
        <v>309</v>
      </c>
      <c r="B271" s="11" t="s">
        <v>41</v>
      </c>
      <c r="C271" s="7">
        <v>988100387</v>
      </c>
      <c r="D271" s="17" t="s">
        <v>703</v>
      </c>
      <c r="E271" s="8"/>
    </row>
    <row r="272" spans="1:5" s="18" customFormat="1">
      <c r="A272" s="11" t="s">
        <v>309</v>
      </c>
      <c r="B272" s="11" t="s">
        <v>41</v>
      </c>
      <c r="C272" s="7">
        <v>988100388</v>
      </c>
      <c r="D272" s="17" t="s">
        <v>704</v>
      </c>
      <c r="E272" s="8"/>
    </row>
    <row r="273" spans="1:5" s="18" customFormat="1">
      <c r="A273" s="11" t="s">
        <v>309</v>
      </c>
      <c r="B273" s="11" t="s">
        <v>41</v>
      </c>
      <c r="C273" s="7">
        <v>988100389</v>
      </c>
      <c r="D273" s="17" t="s">
        <v>705</v>
      </c>
      <c r="E273" s="8"/>
    </row>
    <row r="274" spans="1:5" s="18" customFormat="1">
      <c r="A274" s="11" t="s">
        <v>309</v>
      </c>
      <c r="B274" s="11" t="s">
        <v>41</v>
      </c>
      <c r="C274" s="7">
        <v>988100390</v>
      </c>
      <c r="D274" s="17" t="s">
        <v>706</v>
      </c>
      <c r="E274" s="8"/>
    </row>
    <row r="275" spans="1:5" s="18" customFormat="1">
      <c r="A275" s="11" t="s">
        <v>309</v>
      </c>
      <c r="B275" s="11" t="s">
        <v>41</v>
      </c>
      <c r="C275" s="7">
        <v>988100391</v>
      </c>
      <c r="D275" s="17" t="s">
        <v>401</v>
      </c>
      <c r="E275" s="8"/>
    </row>
    <row r="276" spans="1:5" s="18" customFormat="1">
      <c r="A276" s="11" t="s">
        <v>309</v>
      </c>
      <c r="B276" s="11" t="s">
        <v>41</v>
      </c>
      <c r="C276" s="56">
        <v>988100392</v>
      </c>
      <c r="D276" s="17" t="s">
        <v>707</v>
      </c>
      <c r="E276" s="8"/>
    </row>
    <row r="277" spans="1:5" s="18" customFormat="1">
      <c r="A277" s="11" t="s">
        <v>309</v>
      </c>
      <c r="B277" s="11" t="s">
        <v>41</v>
      </c>
      <c r="C277" s="56">
        <v>988100393</v>
      </c>
      <c r="D277" s="17" t="s">
        <v>708</v>
      </c>
      <c r="E277" s="8"/>
    </row>
    <row r="278" spans="1:5" s="18" customFormat="1">
      <c r="A278" s="11" t="s">
        <v>309</v>
      </c>
      <c r="B278" s="11" t="s">
        <v>41</v>
      </c>
      <c r="C278" s="7">
        <v>988100394</v>
      </c>
      <c r="D278" s="17" t="s">
        <v>709</v>
      </c>
      <c r="E278" s="8"/>
    </row>
    <row r="279" spans="1:5" s="18" customFormat="1">
      <c r="A279" s="11" t="s">
        <v>309</v>
      </c>
      <c r="B279" s="11" t="s">
        <v>41</v>
      </c>
      <c r="C279" s="7">
        <v>988100399</v>
      </c>
      <c r="D279" s="17" t="s">
        <v>409</v>
      </c>
      <c r="E279" s="8"/>
    </row>
    <row r="280" spans="1:5" s="18" customFormat="1">
      <c r="A280" s="11" t="s">
        <v>309</v>
      </c>
      <c r="B280" s="11" t="s">
        <v>41</v>
      </c>
      <c r="C280" s="7">
        <v>988100400</v>
      </c>
      <c r="D280" s="17" t="s">
        <v>410</v>
      </c>
      <c r="E280" s="8"/>
    </row>
    <row r="281" spans="1:5" s="18" customFormat="1">
      <c r="A281" s="11" t="s">
        <v>309</v>
      </c>
      <c r="B281" s="11" t="s">
        <v>41</v>
      </c>
      <c r="C281" s="7">
        <v>988100401</v>
      </c>
      <c r="D281" s="17" t="s">
        <v>411</v>
      </c>
      <c r="E281" s="8"/>
    </row>
    <row r="282" spans="1:5" s="18" customFormat="1">
      <c r="A282" s="11" t="s">
        <v>309</v>
      </c>
      <c r="B282" s="11" t="s">
        <v>41</v>
      </c>
      <c r="C282" s="7">
        <v>988100402</v>
      </c>
      <c r="D282" s="17" t="s">
        <v>412</v>
      </c>
      <c r="E282" s="8"/>
    </row>
    <row r="283" spans="1:5" s="18" customFormat="1">
      <c r="A283" s="11" t="s">
        <v>309</v>
      </c>
      <c r="B283" s="11" t="s">
        <v>41</v>
      </c>
      <c r="C283" s="109">
        <v>988100403</v>
      </c>
      <c r="D283" s="17" t="s">
        <v>413</v>
      </c>
      <c r="E283" s="8"/>
    </row>
    <row r="284" spans="1:5" s="18" customFormat="1">
      <c r="A284" s="11" t="s">
        <v>309</v>
      </c>
      <c r="B284" s="11" t="s">
        <v>41</v>
      </c>
      <c r="C284" s="109">
        <v>988100404</v>
      </c>
      <c r="D284" s="17" t="s">
        <v>414</v>
      </c>
      <c r="E284" s="8"/>
    </row>
    <row r="285" spans="1:5" s="18" customFormat="1">
      <c r="A285" s="11" t="s">
        <v>309</v>
      </c>
      <c r="B285" s="11" t="s">
        <v>41</v>
      </c>
      <c r="C285" s="109">
        <v>988100405</v>
      </c>
      <c r="D285" s="17" t="s">
        <v>415</v>
      </c>
      <c r="E285" s="8"/>
    </row>
    <row r="286" spans="1:5" s="18" customFormat="1">
      <c r="A286" s="11" t="s">
        <v>309</v>
      </c>
      <c r="B286" s="11" t="s">
        <v>41</v>
      </c>
      <c r="C286" s="109">
        <v>988100406</v>
      </c>
      <c r="D286" s="17" t="s">
        <v>416</v>
      </c>
      <c r="E286" s="8"/>
    </row>
    <row r="287" spans="1:5" s="18" customFormat="1">
      <c r="A287" s="11" t="s">
        <v>309</v>
      </c>
      <c r="B287" s="11" t="s">
        <v>41</v>
      </c>
      <c r="C287" s="109">
        <v>988100409</v>
      </c>
      <c r="D287" s="17" t="s">
        <v>419</v>
      </c>
      <c r="E287" s="8"/>
    </row>
    <row r="288" spans="1:5" s="18" customFormat="1">
      <c r="A288" s="11" t="s">
        <v>309</v>
      </c>
      <c r="B288" s="11" t="s">
        <v>41</v>
      </c>
      <c r="C288" s="109">
        <v>988100414</v>
      </c>
      <c r="D288" s="19" t="s">
        <v>710</v>
      </c>
      <c r="E288" s="8"/>
    </row>
    <row r="289" spans="1:5" s="18" customFormat="1">
      <c r="A289" s="11" t="s">
        <v>309</v>
      </c>
      <c r="B289" s="11" t="s">
        <v>41</v>
      </c>
      <c r="C289" s="109">
        <v>988100415</v>
      </c>
      <c r="D289" s="19" t="s">
        <v>711</v>
      </c>
      <c r="E289" s="8"/>
    </row>
    <row r="290" spans="1:5" s="18" customFormat="1">
      <c r="A290" s="11" t="s">
        <v>309</v>
      </c>
      <c r="B290" s="11" t="s">
        <v>41</v>
      </c>
      <c r="C290" s="7">
        <v>988100416</v>
      </c>
      <c r="D290" s="19" t="s">
        <v>712</v>
      </c>
      <c r="E290" s="8"/>
    </row>
    <row r="291" spans="1:5" s="18" customFormat="1">
      <c r="A291" s="11" t="s">
        <v>309</v>
      </c>
      <c r="B291" s="11" t="s">
        <v>41</v>
      </c>
      <c r="C291" s="7">
        <v>988100417</v>
      </c>
      <c r="D291" s="19" t="s">
        <v>713</v>
      </c>
      <c r="E291" s="8"/>
    </row>
    <row r="292" spans="1:5" s="18" customFormat="1">
      <c r="A292" s="11" t="s">
        <v>309</v>
      </c>
      <c r="B292" s="11" t="s">
        <v>41</v>
      </c>
      <c r="C292" s="7">
        <v>988100418</v>
      </c>
      <c r="D292" s="19" t="s">
        <v>714</v>
      </c>
      <c r="E292" s="8"/>
    </row>
    <row r="293" spans="1:5" s="18" customFormat="1">
      <c r="A293" s="11" t="s">
        <v>309</v>
      </c>
      <c r="B293" s="11" t="s">
        <v>41</v>
      </c>
      <c r="C293" s="109">
        <v>988100419</v>
      </c>
      <c r="D293" s="19" t="s">
        <v>715</v>
      </c>
      <c r="E293" s="8"/>
    </row>
    <row r="294" spans="1:5" s="18" customFormat="1">
      <c r="A294" s="11" t="s">
        <v>309</v>
      </c>
      <c r="B294" s="11" t="s">
        <v>41</v>
      </c>
      <c r="C294" s="7">
        <v>988100420</v>
      </c>
      <c r="D294" s="19" t="s">
        <v>716</v>
      </c>
      <c r="E294" s="8"/>
    </row>
    <row r="295" spans="1:5" s="18" customFormat="1">
      <c r="A295" s="11" t="s">
        <v>309</v>
      </c>
      <c r="B295" s="11" t="s">
        <v>41</v>
      </c>
      <c r="C295" s="7">
        <v>988100421</v>
      </c>
      <c r="D295" s="19" t="s">
        <v>717</v>
      </c>
      <c r="E295" s="8"/>
    </row>
    <row r="296" spans="1:5" s="18" customFormat="1">
      <c r="A296" s="11" t="s">
        <v>309</v>
      </c>
      <c r="B296" s="11" t="s">
        <v>41</v>
      </c>
      <c r="C296" s="7">
        <v>988100422</v>
      </c>
      <c r="D296" s="19" t="s">
        <v>718</v>
      </c>
      <c r="E296" s="8"/>
    </row>
    <row r="297" spans="1:5" s="18" customFormat="1">
      <c r="A297" s="11" t="s">
        <v>124</v>
      </c>
      <c r="B297" s="11" t="s">
        <v>7</v>
      </c>
      <c r="C297" s="7">
        <v>988100425</v>
      </c>
      <c r="D297" s="19" t="s">
        <v>431</v>
      </c>
      <c r="E297" s="8"/>
    </row>
    <row r="298" spans="1:5" s="18" customFormat="1">
      <c r="A298" s="11" t="s">
        <v>89</v>
      </c>
      <c r="B298" s="11" t="s">
        <v>7</v>
      </c>
      <c r="C298" s="7">
        <v>988100426</v>
      </c>
      <c r="D298" s="19" t="s">
        <v>380</v>
      </c>
      <c r="E298" s="8">
        <v>33</v>
      </c>
    </row>
    <row r="299" spans="1:5" s="18" customFormat="1">
      <c r="A299" s="11" t="s">
        <v>89</v>
      </c>
      <c r="B299" s="11" t="s">
        <v>7</v>
      </c>
      <c r="C299" s="7">
        <v>988100427</v>
      </c>
      <c r="D299" s="19" t="s">
        <v>719</v>
      </c>
      <c r="E299" s="8"/>
    </row>
    <row r="300" spans="1:5" s="18" customFormat="1">
      <c r="A300" s="11" t="s">
        <v>25</v>
      </c>
      <c r="B300" s="11" t="s">
        <v>7</v>
      </c>
      <c r="C300" s="7">
        <v>988100429</v>
      </c>
      <c r="D300" s="19" t="s">
        <v>720</v>
      </c>
      <c r="E300" s="8"/>
    </row>
    <row r="301" spans="1:5" s="18" customFormat="1">
      <c r="A301" s="11" t="s">
        <v>6</v>
      </c>
      <c r="B301" s="11" t="s">
        <v>7</v>
      </c>
      <c r="C301" s="7">
        <v>988100431</v>
      </c>
      <c r="D301" s="19" t="s">
        <v>432</v>
      </c>
      <c r="E301" s="8"/>
    </row>
    <row r="302" spans="1:5" s="18" customFormat="1">
      <c r="A302" s="11" t="s">
        <v>89</v>
      </c>
      <c r="B302" s="11" t="s">
        <v>7</v>
      </c>
      <c r="C302" s="7">
        <v>988100434</v>
      </c>
      <c r="D302" s="19" t="s">
        <v>93</v>
      </c>
      <c r="E302" s="8">
        <v>44</v>
      </c>
    </row>
    <row r="303" spans="1:5" s="18" customFormat="1">
      <c r="A303" s="11" t="s">
        <v>124</v>
      </c>
      <c r="B303" s="11" t="s">
        <v>41</v>
      </c>
      <c r="C303" s="7">
        <v>988100436</v>
      </c>
      <c r="D303" s="19" t="s">
        <v>436</v>
      </c>
      <c r="E303" s="8"/>
    </row>
    <row r="304" spans="1:5" s="18" customFormat="1">
      <c r="A304" s="11" t="s">
        <v>124</v>
      </c>
      <c r="B304" s="11" t="s">
        <v>41</v>
      </c>
      <c r="C304" s="7">
        <v>988100437</v>
      </c>
      <c r="D304" s="19" t="s">
        <v>437</v>
      </c>
      <c r="E304" s="8"/>
    </row>
    <row r="305" spans="1:5" s="18" customFormat="1">
      <c r="A305" s="11" t="s">
        <v>25</v>
      </c>
      <c r="B305" s="11" t="s">
        <v>41</v>
      </c>
      <c r="C305" s="7">
        <v>988100438</v>
      </c>
      <c r="D305" s="19" t="s">
        <v>79</v>
      </c>
      <c r="E305" s="8"/>
    </row>
    <row r="306" spans="1:5" s="18" customFormat="1">
      <c r="A306" s="11" t="s">
        <v>25</v>
      </c>
      <c r="B306" s="11" t="s">
        <v>41</v>
      </c>
      <c r="C306" s="7">
        <v>988100439</v>
      </c>
      <c r="D306" s="19" t="s">
        <v>80</v>
      </c>
      <c r="E306" s="8"/>
    </row>
    <row r="307" spans="1:5" s="18" customFormat="1">
      <c r="A307" s="11" t="s">
        <v>25</v>
      </c>
      <c r="B307" s="11" t="s">
        <v>41</v>
      </c>
      <c r="C307" s="7">
        <v>988100440</v>
      </c>
      <c r="D307" s="19" t="s">
        <v>81</v>
      </c>
      <c r="E307" s="8"/>
    </row>
    <row r="308" spans="1:5" s="18" customFormat="1">
      <c r="A308" s="11" t="s">
        <v>25</v>
      </c>
      <c r="B308" s="11" t="s">
        <v>41</v>
      </c>
      <c r="C308" s="7">
        <v>988100441</v>
      </c>
      <c r="D308" s="19" t="s">
        <v>82</v>
      </c>
      <c r="E308" s="8"/>
    </row>
    <row r="309" spans="1:5" s="18" customFormat="1">
      <c r="A309" s="11" t="s">
        <v>25</v>
      </c>
      <c r="B309" s="11" t="s">
        <v>41</v>
      </c>
      <c r="C309" s="7">
        <v>988100442</v>
      </c>
      <c r="D309" s="19" t="s">
        <v>83</v>
      </c>
      <c r="E309" s="8"/>
    </row>
    <row r="310" spans="1:5" s="18" customFormat="1">
      <c r="A310" s="11" t="s">
        <v>25</v>
      </c>
      <c r="B310" s="11" t="s">
        <v>41</v>
      </c>
      <c r="C310" s="7">
        <v>988100443</v>
      </c>
      <c r="D310" s="19" t="s">
        <v>84</v>
      </c>
      <c r="E310" s="8"/>
    </row>
    <row r="311" spans="1:5" s="18" customFormat="1">
      <c r="A311" s="11" t="s">
        <v>124</v>
      </c>
      <c r="B311" s="11" t="s">
        <v>7</v>
      </c>
      <c r="C311" s="7">
        <v>988100444</v>
      </c>
      <c r="D311" s="19" t="s">
        <v>721</v>
      </c>
      <c r="E311" s="8"/>
    </row>
    <row r="312" spans="1:5" s="18" customFormat="1">
      <c r="A312" s="11" t="s">
        <v>6</v>
      </c>
      <c r="B312" s="11" t="s">
        <v>7</v>
      </c>
      <c r="C312" s="113">
        <v>988100445</v>
      </c>
      <c r="D312" s="15" t="s">
        <v>499</v>
      </c>
      <c r="E312" s="8"/>
    </row>
    <row r="313" spans="1:5" s="18" customFormat="1">
      <c r="A313" s="11" t="s">
        <v>124</v>
      </c>
      <c r="B313" s="11" t="s">
        <v>41</v>
      </c>
      <c r="C313" s="7">
        <v>988100447</v>
      </c>
      <c r="D313" s="7" t="s">
        <v>439</v>
      </c>
      <c r="E313" s="8"/>
    </row>
    <row r="314" spans="1:5" s="18" customFormat="1">
      <c r="A314" s="11" t="s">
        <v>40</v>
      </c>
      <c r="B314" s="11" t="s">
        <v>41</v>
      </c>
      <c r="C314" s="109">
        <v>988100450</v>
      </c>
      <c r="D314" s="19" t="s">
        <v>446</v>
      </c>
      <c r="E314" s="8"/>
    </row>
    <row r="315" spans="1:5" s="18" customFormat="1">
      <c r="A315" s="11" t="s">
        <v>124</v>
      </c>
      <c r="B315" s="11" t="s">
        <v>41</v>
      </c>
      <c r="C315" s="7">
        <v>988100451</v>
      </c>
      <c r="D315" s="7" t="s">
        <v>441</v>
      </c>
      <c r="E315" s="8"/>
    </row>
    <row r="316" spans="1:5" s="18" customFormat="1">
      <c r="A316" s="11" t="s">
        <v>25</v>
      </c>
      <c r="B316" s="11" t="s">
        <v>7</v>
      </c>
      <c r="C316" s="7">
        <v>988100452</v>
      </c>
      <c r="D316" s="7" t="s">
        <v>189</v>
      </c>
      <c r="E316" s="8"/>
    </row>
    <row r="317" spans="1:5" s="18" customFormat="1">
      <c r="A317" s="11" t="s">
        <v>25</v>
      </c>
      <c r="B317" s="11" t="s">
        <v>41</v>
      </c>
      <c r="C317" s="109">
        <v>988100453</v>
      </c>
      <c r="D317" s="19" t="s">
        <v>85</v>
      </c>
      <c r="E317" s="8"/>
    </row>
    <row r="318" spans="1:5" s="18" customFormat="1">
      <c r="A318" s="11" t="s">
        <v>89</v>
      </c>
      <c r="B318" s="11" t="s">
        <v>7</v>
      </c>
      <c r="C318" s="109">
        <v>988100455</v>
      </c>
      <c r="D318" s="19" t="s">
        <v>95</v>
      </c>
      <c r="E318" s="8">
        <v>21</v>
      </c>
    </row>
    <row r="319" spans="1:5" s="18" customFormat="1">
      <c r="A319" s="11" t="s">
        <v>25</v>
      </c>
      <c r="B319" s="11" t="s">
        <v>7</v>
      </c>
      <c r="C319" s="105">
        <v>988100456</v>
      </c>
      <c r="D319" s="100" t="s">
        <v>26</v>
      </c>
      <c r="E319" s="8">
        <v>23</v>
      </c>
    </row>
    <row r="320" spans="1:5" s="18" customFormat="1">
      <c r="A320" s="11" t="s">
        <v>25</v>
      </c>
      <c r="B320" s="11" t="s">
        <v>41</v>
      </c>
      <c r="C320" s="109">
        <v>988100457</v>
      </c>
      <c r="D320" s="19" t="s">
        <v>722</v>
      </c>
      <c r="E320" s="8"/>
    </row>
    <row r="321" spans="1:5" s="18" customFormat="1">
      <c r="A321" s="11" t="s">
        <v>25</v>
      </c>
      <c r="B321" s="11" t="s">
        <v>7</v>
      </c>
      <c r="C321" s="109">
        <v>988100458</v>
      </c>
      <c r="D321" s="7" t="s">
        <v>445</v>
      </c>
      <c r="E321" s="8"/>
    </row>
    <row r="322" spans="1:5" s="18" customFormat="1">
      <c r="A322" s="11" t="s">
        <v>6</v>
      </c>
      <c r="B322" s="11" t="s">
        <v>7</v>
      </c>
      <c r="C322" s="109">
        <v>988100460</v>
      </c>
      <c r="D322" s="7" t="s">
        <v>14</v>
      </c>
      <c r="E322" s="8">
        <v>9</v>
      </c>
    </row>
    <row r="323" spans="1:5" s="18" customFormat="1">
      <c r="A323" s="11" t="s">
        <v>6</v>
      </c>
      <c r="B323" s="11" t="s">
        <v>41</v>
      </c>
      <c r="C323" s="109">
        <v>988100461</v>
      </c>
      <c r="D323" s="19" t="s">
        <v>447</v>
      </c>
      <c r="E323" s="8"/>
    </row>
    <row r="324" spans="1:5" s="18" customFormat="1">
      <c r="A324" s="11" t="s">
        <v>6</v>
      </c>
      <c r="B324" s="11" t="s">
        <v>7</v>
      </c>
      <c r="C324" s="109">
        <v>988100462</v>
      </c>
      <c r="D324" s="19" t="s">
        <v>448</v>
      </c>
      <c r="E324" s="8"/>
    </row>
    <row r="325" spans="1:5" s="18" customFormat="1">
      <c r="A325" s="11" t="s">
        <v>6</v>
      </c>
      <c r="B325" s="11" t="s">
        <v>7</v>
      </c>
      <c r="C325" s="109">
        <v>988100463</v>
      </c>
      <c r="D325" s="19" t="s">
        <v>449</v>
      </c>
      <c r="E325" s="8"/>
    </row>
    <row r="326" spans="1:5" s="18" customFormat="1">
      <c r="A326" s="11" t="s">
        <v>89</v>
      </c>
      <c r="B326" s="11" t="s">
        <v>7</v>
      </c>
      <c r="C326" s="109">
        <v>988100464</v>
      </c>
      <c r="D326" s="7" t="s">
        <v>94</v>
      </c>
      <c r="E326" s="8">
        <v>47</v>
      </c>
    </row>
    <row r="327" spans="1:5" s="18" customFormat="1">
      <c r="A327" s="11" t="s">
        <v>25</v>
      </c>
      <c r="B327" s="11" t="s">
        <v>41</v>
      </c>
      <c r="C327" s="109">
        <v>988100465</v>
      </c>
      <c r="D327" s="19" t="s">
        <v>86</v>
      </c>
      <c r="E327" s="8"/>
    </row>
    <row r="328" spans="1:5" s="18" customFormat="1">
      <c r="A328" s="11" t="s">
        <v>25</v>
      </c>
      <c r="B328" s="11" t="s">
        <v>41</v>
      </c>
      <c r="C328" s="7">
        <v>988100466</v>
      </c>
      <c r="D328" s="19" t="s">
        <v>87</v>
      </c>
      <c r="E328" s="8"/>
    </row>
    <row r="329" spans="1:5" s="18" customFormat="1">
      <c r="A329" s="11" t="s">
        <v>25</v>
      </c>
      <c r="B329" s="11" t="s">
        <v>41</v>
      </c>
      <c r="C329" s="7">
        <v>988100467</v>
      </c>
      <c r="D329" s="19" t="s">
        <v>88</v>
      </c>
      <c r="E329" s="8"/>
    </row>
    <row r="330" spans="1:5" s="18" customFormat="1">
      <c r="A330" s="11" t="s">
        <v>89</v>
      </c>
      <c r="B330" s="11" t="s">
        <v>7</v>
      </c>
      <c r="C330" s="7">
        <v>988100468</v>
      </c>
      <c r="D330" s="19" t="s">
        <v>99</v>
      </c>
      <c r="E330" s="8">
        <v>15</v>
      </c>
    </row>
    <row r="331" spans="1:5" s="18" customFormat="1">
      <c r="A331" s="11" t="s">
        <v>25</v>
      </c>
      <c r="B331" s="11" t="s">
        <v>41</v>
      </c>
      <c r="C331" s="7">
        <v>988100469</v>
      </c>
      <c r="D331" s="7" t="s">
        <v>153</v>
      </c>
      <c r="E331" s="8">
        <v>1</v>
      </c>
    </row>
    <row r="332" spans="1:5" s="18" customFormat="1">
      <c r="A332" s="11" t="s">
        <v>89</v>
      </c>
      <c r="B332" s="11" t="s">
        <v>7</v>
      </c>
      <c r="C332" s="99">
        <v>988100474</v>
      </c>
      <c r="D332" s="7" t="s">
        <v>101</v>
      </c>
      <c r="E332" s="8">
        <v>11</v>
      </c>
    </row>
    <row r="333" spans="1:5" s="18" customFormat="1">
      <c r="A333" s="11" t="s">
        <v>40</v>
      </c>
      <c r="B333" s="11" t="s">
        <v>41</v>
      </c>
      <c r="C333" s="7">
        <v>988100484</v>
      </c>
      <c r="D333" s="7" t="s">
        <v>55</v>
      </c>
      <c r="E333" s="8">
        <v>30</v>
      </c>
    </row>
    <row r="334" spans="1:5" s="18" customFormat="1">
      <c r="A334" s="11" t="s">
        <v>309</v>
      </c>
      <c r="B334" s="11" t="s">
        <v>41</v>
      </c>
      <c r="C334" s="109">
        <v>988100490</v>
      </c>
      <c r="D334" s="17" t="s">
        <v>451</v>
      </c>
      <c r="E334" s="8"/>
    </row>
    <row r="335" spans="1:5" s="18" customFormat="1">
      <c r="A335" s="11" t="s">
        <v>309</v>
      </c>
      <c r="B335" s="11" t="s">
        <v>41</v>
      </c>
      <c r="C335" s="109">
        <v>988100491</v>
      </c>
      <c r="D335" s="17" t="s">
        <v>452</v>
      </c>
      <c r="E335" s="8"/>
    </row>
    <row r="336" spans="1:5" s="18" customFormat="1">
      <c r="A336" s="11" t="s">
        <v>309</v>
      </c>
      <c r="B336" s="11" t="s">
        <v>41</v>
      </c>
      <c r="C336" s="109">
        <v>988100492</v>
      </c>
      <c r="D336" s="17" t="s">
        <v>453</v>
      </c>
      <c r="E336" s="8"/>
    </row>
    <row r="337" spans="1:5" s="18" customFormat="1">
      <c r="A337" s="11" t="s">
        <v>309</v>
      </c>
      <c r="B337" s="11" t="s">
        <v>41</v>
      </c>
      <c r="C337" s="109">
        <v>988100493</v>
      </c>
      <c r="D337" s="17" t="s">
        <v>454</v>
      </c>
      <c r="E337" s="8"/>
    </row>
    <row r="338" spans="1:5" s="18" customFormat="1">
      <c r="A338" s="11" t="s">
        <v>309</v>
      </c>
      <c r="B338" s="11" t="s">
        <v>41</v>
      </c>
      <c r="C338" s="109">
        <v>988100494</v>
      </c>
      <c r="D338" s="17" t="s">
        <v>455</v>
      </c>
      <c r="E338" s="8"/>
    </row>
    <row r="339" spans="1:5" s="18" customFormat="1">
      <c r="A339" s="11" t="s">
        <v>309</v>
      </c>
      <c r="B339" s="11" t="s">
        <v>41</v>
      </c>
      <c r="C339" s="109">
        <v>988100495</v>
      </c>
      <c r="D339" s="17" t="s">
        <v>456</v>
      </c>
      <c r="E339" s="8"/>
    </row>
    <row r="340" spans="1:5" s="18" customFormat="1">
      <c r="A340" s="11" t="s">
        <v>309</v>
      </c>
      <c r="B340" s="11" t="s">
        <v>41</v>
      </c>
      <c r="C340" s="109">
        <v>988100496</v>
      </c>
      <c r="D340" s="17" t="s">
        <v>457</v>
      </c>
      <c r="E340" s="8"/>
    </row>
    <row r="341" spans="1:5" s="18" customFormat="1">
      <c r="A341" s="11" t="s">
        <v>309</v>
      </c>
      <c r="B341" s="11" t="s">
        <v>41</v>
      </c>
      <c r="C341" s="109">
        <v>988100497</v>
      </c>
      <c r="D341" s="17" t="s">
        <v>458</v>
      </c>
      <c r="E341" s="8"/>
    </row>
    <row r="342" spans="1:5" s="18" customFormat="1" ht="12.65" customHeight="1">
      <c r="A342" s="11" t="s">
        <v>309</v>
      </c>
      <c r="B342" s="11" t="s">
        <v>41</v>
      </c>
      <c r="C342" s="109">
        <v>988100500</v>
      </c>
      <c r="D342" s="17" t="s">
        <v>459</v>
      </c>
      <c r="E342" s="8"/>
    </row>
    <row r="343" spans="1:5" s="18" customFormat="1">
      <c r="A343" s="11" t="s">
        <v>309</v>
      </c>
      <c r="B343" s="11" t="s">
        <v>41</v>
      </c>
      <c r="C343" s="109">
        <v>988100501</v>
      </c>
      <c r="D343" s="17" t="s">
        <v>460</v>
      </c>
      <c r="E343" s="8"/>
    </row>
    <row r="344" spans="1:5" s="18" customFormat="1">
      <c r="A344" s="11" t="s">
        <v>309</v>
      </c>
      <c r="B344" s="11" t="s">
        <v>41</v>
      </c>
      <c r="C344" s="109">
        <v>988100502</v>
      </c>
      <c r="D344" s="17" t="s">
        <v>461</v>
      </c>
      <c r="E344" s="8"/>
    </row>
    <row r="345" spans="1:5" s="18" customFormat="1">
      <c r="A345" s="11" t="s">
        <v>309</v>
      </c>
      <c r="B345" s="11" t="s">
        <v>41</v>
      </c>
      <c r="C345" s="7">
        <v>988100503</v>
      </c>
      <c r="D345" s="17" t="s">
        <v>462</v>
      </c>
      <c r="E345" s="8"/>
    </row>
    <row r="346" spans="1:5" s="18" customFormat="1">
      <c r="A346" s="11" t="s">
        <v>309</v>
      </c>
      <c r="B346" s="11" t="s">
        <v>41</v>
      </c>
      <c r="C346" s="7">
        <v>988100504</v>
      </c>
      <c r="D346" s="17" t="s">
        <v>463</v>
      </c>
      <c r="E346" s="8"/>
    </row>
    <row r="347" spans="1:5" s="18" customFormat="1">
      <c r="A347" s="11" t="s">
        <v>309</v>
      </c>
      <c r="B347" s="11" t="s">
        <v>41</v>
      </c>
      <c r="C347" s="7">
        <v>988100505</v>
      </c>
      <c r="D347" s="17" t="s">
        <v>464</v>
      </c>
      <c r="E347" s="8"/>
    </row>
    <row r="348" spans="1:5" s="18" customFormat="1">
      <c r="A348" s="11" t="s">
        <v>309</v>
      </c>
      <c r="B348" s="11" t="s">
        <v>41</v>
      </c>
      <c r="C348" s="7">
        <v>988100506</v>
      </c>
      <c r="D348" s="17" t="s">
        <v>465</v>
      </c>
      <c r="E348" s="8"/>
    </row>
    <row r="349" spans="1:5" s="18" customFormat="1">
      <c r="A349" s="11" t="s">
        <v>309</v>
      </c>
      <c r="B349" s="11" t="s">
        <v>41</v>
      </c>
      <c r="C349" s="7">
        <v>988100507</v>
      </c>
      <c r="D349" s="17" t="s">
        <v>466</v>
      </c>
      <c r="E349" s="8"/>
    </row>
    <row r="350" spans="1:5" s="18" customFormat="1">
      <c r="A350" s="11" t="s">
        <v>309</v>
      </c>
      <c r="B350" s="11" t="s">
        <v>41</v>
      </c>
      <c r="C350" s="7">
        <v>988100508</v>
      </c>
      <c r="D350" s="17" t="s">
        <v>467</v>
      </c>
      <c r="E350" s="8"/>
    </row>
    <row r="351" spans="1:5" s="18" customFormat="1">
      <c r="A351" s="11" t="s">
        <v>309</v>
      </c>
      <c r="B351" s="11" t="s">
        <v>41</v>
      </c>
      <c r="C351" s="7">
        <v>988100509</v>
      </c>
      <c r="D351" s="17" t="s">
        <v>468</v>
      </c>
      <c r="E351" s="8"/>
    </row>
    <row r="352" spans="1:5" s="18" customFormat="1">
      <c r="A352" s="11" t="s">
        <v>309</v>
      </c>
      <c r="B352" s="11" t="s">
        <v>41</v>
      </c>
      <c r="C352" s="7">
        <v>988100510</v>
      </c>
      <c r="D352" s="17" t="s">
        <v>469</v>
      </c>
      <c r="E352" s="8"/>
    </row>
    <row r="353" spans="1:5" s="18" customFormat="1">
      <c r="A353" s="11" t="s">
        <v>309</v>
      </c>
      <c r="B353" s="11" t="s">
        <v>41</v>
      </c>
      <c r="C353" s="7">
        <v>988100511</v>
      </c>
      <c r="D353" s="17" t="s">
        <v>470</v>
      </c>
      <c r="E353" s="8"/>
    </row>
    <row r="354" spans="1:5" s="18" customFormat="1">
      <c r="A354" s="11" t="s">
        <v>309</v>
      </c>
      <c r="B354" s="11" t="s">
        <v>41</v>
      </c>
      <c r="C354" s="109">
        <v>988100512</v>
      </c>
      <c r="D354" s="17" t="s">
        <v>471</v>
      </c>
      <c r="E354" s="8"/>
    </row>
    <row r="355" spans="1:5" s="18" customFormat="1">
      <c r="A355" s="11" t="s">
        <v>309</v>
      </c>
      <c r="B355" s="11" t="s">
        <v>41</v>
      </c>
      <c r="C355" s="109">
        <v>988100513</v>
      </c>
      <c r="D355" s="17" t="s">
        <v>472</v>
      </c>
      <c r="E355" s="8"/>
    </row>
    <row r="356" spans="1:5" s="18" customFormat="1">
      <c r="A356" s="11" t="s">
        <v>309</v>
      </c>
      <c r="B356" s="11" t="s">
        <v>41</v>
      </c>
      <c r="C356" s="109">
        <v>988100514</v>
      </c>
      <c r="D356" s="17" t="s">
        <v>473</v>
      </c>
      <c r="E356" s="8"/>
    </row>
    <row r="357" spans="1:5" s="18" customFormat="1">
      <c r="A357" s="11" t="s">
        <v>309</v>
      </c>
      <c r="B357" s="11" t="s">
        <v>41</v>
      </c>
      <c r="C357" s="109">
        <v>988100515</v>
      </c>
      <c r="D357" s="17" t="s">
        <v>474</v>
      </c>
      <c r="E357" s="8"/>
    </row>
    <row r="358" spans="1:5" s="18" customFormat="1">
      <c r="A358" s="11" t="s">
        <v>309</v>
      </c>
      <c r="B358" s="11" t="s">
        <v>41</v>
      </c>
      <c r="C358" s="109">
        <v>988100516</v>
      </c>
      <c r="D358" s="17" t="s">
        <v>475</v>
      </c>
      <c r="E358" s="8"/>
    </row>
    <row r="359" spans="1:5" s="18" customFormat="1">
      <c r="A359" s="11" t="s">
        <v>309</v>
      </c>
      <c r="B359" s="11" t="s">
        <v>41</v>
      </c>
      <c r="C359" s="7">
        <v>988100517</v>
      </c>
      <c r="D359" s="17" t="s">
        <v>476</v>
      </c>
      <c r="E359" s="8"/>
    </row>
    <row r="360" spans="1:5" s="18" customFormat="1">
      <c r="A360" s="11" t="s">
        <v>309</v>
      </c>
      <c r="B360" s="11" t="s">
        <v>41</v>
      </c>
      <c r="C360" s="109">
        <v>988100518</v>
      </c>
      <c r="D360" s="17" t="s">
        <v>477</v>
      </c>
      <c r="E360" s="8"/>
    </row>
    <row r="361" spans="1:5" s="18" customFormat="1">
      <c r="A361" s="11" t="s">
        <v>309</v>
      </c>
      <c r="B361" s="11" t="s">
        <v>41</v>
      </c>
      <c r="C361" s="109">
        <v>988100519</v>
      </c>
      <c r="D361" s="17" t="s">
        <v>478</v>
      </c>
      <c r="E361" s="8"/>
    </row>
    <row r="362" spans="1:5" s="18" customFormat="1">
      <c r="A362" s="11" t="s">
        <v>309</v>
      </c>
      <c r="B362" s="11" t="s">
        <v>41</v>
      </c>
      <c r="C362" s="109">
        <v>988100520</v>
      </c>
      <c r="D362" s="17" t="s">
        <v>479</v>
      </c>
      <c r="E362" s="8"/>
    </row>
    <row r="363" spans="1:5" s="18" customFormat="1">
      <c r="A363" s="11" t="s">
        <v>309</v>
      </c>
      <c r="B363" s="11" t="s">
        <v>41</v>
      </c>
      <c r="C363" s="109">
        <v>988100521</v>
      </c>
      <c r="D363" s="17" t="s">
        <v>480</v>
      </c>
      <c r="E363" s="8"/>
    </row>
    <row r="364" spans="1:5" s="18" customFormat="1">
      <c r="A364" s="11" t="s">
        <v>309</v>
      </c>
      <c r="B364" s="11" t="s">
        <v>41</v>
      </c>
      <c r="C364" s="109">
        <v>988100522</v>
      </c>
      <c r="D364" s="17" t="s">
        <v>481</v>
      </c>
      <c r="E364" s="8"/>
    </row>
    <row r="365" spans="1:5" s="18" customFormat="1">
      <c r="A365" s="11" t="s">
        <v>309</v>
      </c>
      <c r="B365" s="11" t="s">
        <v>41</v>
      </c>
      <c r="C365" s="7">
        <v>988100523</v>
      </c>
      <c r="D365" s="17" t="s">
        <v>482</v>
      </c>
      <c r="E365" s="8"/>
    </row>
    <row r="366" spans="1:5" s="18" customFormat="1">
      <c r="A366" s="11" t="s">
        <v>309</v>
      </c>
      <c r="B366" s="11" t="s">
        <v>41</v>
      </c>
      <c r="C366" s="7">
        <v>988100524</v>
      </c>
      <c r="D366" s="17" t="s">
        <v>483</v>
      </c>
      <c r="E366" s="8"/>
    </row>
    <row r="367" spans="1:5" s="18" customFormat="1">
      <c r="A367" s="11" t="s">
        <v>309</v>
      </c>
      <c r="B367" s="11" t="s">
        <v>41</v>
      </c>
      <c r="C367" s="7">
        <v>988100525</v>
      </c>
      <c r="D367" s="17" t="s">
        <v>484</v>
      </c>
      <c r="E367" s="8"/>
    </row>
    <row r="368" spans="1:5" s="18" customFormat="1">
      <c r="A368" s="11" t="s">
        <v>309</v>
      </c>
      <c r="B368" s="11" t="s">
        <v>41</v>
      </c>
      <c r="C368" s="7">
        <v>988100526</v>
      </c>
      <c r="D368" s="17" t="s">
        <v>485</v>
      </c>
      <c r="E368" s="8"/>
    </row>
    <row r="369" spans="1:5" s="18" customFormat="1">
      <c r="A369" s="11" t="s">
        <v>309</v>
      </c>
      <c r="B369" s="11" t="s">
        <v>41</v>
      </c>
      <c r="C369" s="7">
        <v>988100527</v>
      </c>
      <c r="D369" s="17" t="s">
        <v>486</v>
      </c>
      <c r="E369" s="8"/>
    </row>
    <row r="370" spans="1:5" s="18" customFormat="1">
      <c r="A370" s="11" t="s">
        <v>309</v>
      </c>
      <c r="B370" s="11" t="s">
        <v>41</v>
      </c>
      <c r="C370" s="7">
        <v>988100528</v>
      </c>
      <c r="D370" s="17" t="s">
        <v>487</v>
      </c>
      <c r="E370" s="8"/>
    </row>
    <row r="371" spans="1:5" s="18" customFormat="1" ht="12.65" customHeight="1">
      <c r="A371" s="11" t="s">
        <v>309</v>
      </c>
      <c r="B371" s="11" t="s">
        <v>41</v>
      </c>
      <c r="C371" s="7">
        <v>988100529</v>
      </c>
      <c r="D371" s="17" t="s">
        <v>488</v>
      </c>
      <c r="E371" s="8"/>
    </row>
    <row r="372" spans="1:5" s="18" customFormat="1" ht="12.65" customHeight="1">
      <c r="A372" s="11" t="s">
        <v>309</v>
      </c>
      <c r="B372" s="11" t="s">
        <v>41</v>
      </c>
      <c r="C372" s="7">
        <v>988100530</v>
      </c>
      <c r="D372" s="17" t="s">
        <v>489</v>
      </c>
      <c r="E372" s="8"/>
    </row>
    <row r="373" spans="1:5" s="18" customFormat="1" ht="12.65" customHeight="1">
      <c r="A373" s="11" t="s">
        <v>309</v>
      </c>
      <c r="B373" s="11" t="s">
        <v>41</v>
      </c>
      <c r="C373" s="7">
        <v>988100531</v>
      </c>
      <c r="D373" s="17" t="s">
        <v>490</v>
      </c>
      <c r="E373" s="8"/>
    </row>
    <row r="374" spans="1:5" s="18" customFormat="1">
      <c r="A374" s="11" t="s">
        <v>309</v>
      </c>
      <c r="B374" s="11" t="s">
        <v>41</v>
      </c>
      <c r="C374" s="7">
        <v>988100532</v>
      </c>
      <c r="D374" s="17" t="s">
        <v>491</v>
      </c>
      <c r="E374" s="8"/>
    </row>
    <row r="375" spans="1:5" s="18" customFormat="1">
      <c r="A375" s="11" t="s">
        <v>309</v>
      </c>
      <c r="B375" s="11" t="s">
        <v>41</v>
      </c>
      <c r="C375" s="56">
        <v>988100533</v>
      </c>
      <c r="D375" s="17" t="s">
        <v>492</v>
      </c>
      <c r="E375" s="8"/>
    </row>
    <row r="376" spans="1:5" s="18" customFormat="1">
      <c r="A376" s="11" t="s">
        <v>25</v>
      </c>
      <c r="B376" s="11" t="s">
        <v>7</v>
      </c>
      <c r="C376" s="7">
        <v>988100534</v>
      </c>
      <c r="D376" s="19" t="s">
        <v>504</v>
      </c>
      <c r="E376" s="8"/>
    </row>
    <row r="377" spans="1:5" s="18" customFormat="1">
      <c r="A377" s="11" t="s">
        <v>25</v>
      </c>
      <c r="B377" s="11" t="s">
        <v>7</v>
      </c>
      <c r="C377" s="7">
        <v>988100535</v>
      </c>
      <c r="D377" s="17" t="s">
        <v>493</v>
      </c>
      <c r="E377" s="8"/>
    </row>
    <row r="378" spans="1:5" s="18" customFormat="1">
      <c r="A378" s="11" t="s">
        <v>89</v>
      </c>
      <c r="B378" s="5" t="s">
        <v>7</v>
      </c>
      <c r="C378" s="7">
        <v>988100537</v>
      </c>
      <c r="D378" s="7" t="s">
        <v>109</v>
      </c>
      <c r="E378" s="8">
        <v>29</v>
      </c>
    </row>
    <row r="379" spans="1:5" s="18" customFormat="1">
      <c r="A379" s="11" t="s">
        <v>6</v>
      </c>
      <c r="B379" s="11" t="s">
        <v>7</v>
      </c>
      <c r="C379" s="7">
        <v>988100538</v>
      </c>
      <c r="D379" s="15" t="s">
        <v>500</v>
      </c>
      <c r="E379" s="8"/>
    </row>
    <row r="380" spans="1:5" s="18" customFormat="1">
      <c r="A380" s="11" t="s">
        <v>25</v>
      </c>
      <c r="B380" s="11" t="s">
        <v>7</v>
      </c>
      <c r="C380" s="111">
        <v>988100539</v>
      </c>
      <c r="D380" s="112" t="s">
        <v>36</v>
      </c>
      <c r="E380" s="8"/>
    </row>
    <row r="381" spans="1:5" s="18" customFormat="1">
      <c r="A381" s="11" t="s">
        <v>25</v>
      </c>
      <c r="B381" s="11" t="s">
        <v>7</v>
      </c>
      <c r="C381" s="111">
        <v>988100540</v>
      </c>
      <c r="D381" s="159" t="s">
        <v>39</v>
      </c>
      <c r="E381" s="8"/>
    </row>
    <row r="382" spans="1:5" s="18" customFormat="1">
      <c r="A382" s="11" t="s">
        <v>25</v>
      </c>
      <c r="B382" s="11" t="s">
        <v>7</v>
      </c>
      <c r="C382" s="7">
        <v>988100541</v>
      </c>
      <c r="D382" s="15" t="s">
        <v>497</v>
      </c>
      <c r="E382" s="8"/>
    </row>
    <row r="383" spans="1:5" s="18" customFormat="1">
      <c r="A383" s="11" t="s">
        <v>89</v>
      </c>
      <c r="B383" s="11" t="s">
        <v>7</v>
      </c>
      <c r="C383" s="7">
        <v>988100542</v>
      </c>
      <c r="D383" s="15" t="s">
        <v>539</v>
      </c>
      <c r="E383" s="8"/>
    </row>
    <row r="384" spans="1:5" s="18" customFormat="1">
      <c r="A384" s="11" t="s">
        <v>89</v>
      </c>
      <c r="B384" s="11" t="s">
        <v>7</v>
      </c>
      <c r="C384" s="7">
        <v>988100543</v>
      </c>
      <c r="D384" s="15" t="s">
        <v>110</v>
      </c>
      <c r="E384" s="8">
        <v>25</v>
      </c>
    </row>
    <row r="385" spans="1:5" s="18" customFormat="1">
      <c r="A385" s="11" t="s">
        <v>25</v>
      </c>
      <c r="B385" s="11" t="s">
        <v>7</v>
      </c>
      <c r="C385" s="7">
        <v>988100545</v>
      </c>
      <c r="D385" s="15" t="s">
        <v>498</v>
      </c>
      <c r="E385" s="8"/>
    </row>
    <row r="386" spans="1:5" s="18" customFormat="1">
      <c r="A386" s="11" t="s">
        <v>6</v>
      </c>
      <c r="B386" s="11" t="s">
        <v>7</v>
      </c>
      <c r="C386" s="7">
        <v>988100546</v>
      </c>
      <c r="D386" s="110" t="s">
        <v>502</v>
      </c>
      <c r="E386" s="8"/>
    </row>
    <row r="387" spans="1:5" s="18" customFormat="1">
      <c r="A387" s="11" t="s">
        <v>6</v>
      </c>
      <c r="B387" s="11" t="s">
        <v>7</v>
      </c>
      <c r="C387" s="7">
        <v>988100547</v>
      </c>
      <c r="D387" s="110" t="s">
        <v>503</v>
      </c>
      <c r="E387" s="8"/>
    </row>
    <row r="388" spans="1:5" s="18" customFormat="1">
      <c r="A388" s="11" t="s">
        <v>6</v>
      </c>
      <c r="B388" s="11" t="s">
        <v>7</v>
      </c>
      <c r="C388" s="7">
        <v>988100548</v>
      </c>
      <c r="D388" s="15" t="s">
        <v>723</v>
      </c>
      <c r="E388" s="8"/>
    </row>
    <row r="389" spans="1:5" s="18" customFormat="1" ht="12.65" customHeight="1">
      <c r="A389" s="11" t="s">
        <v>309</v>
      </c>
      <c r="B389" s="11" t="s">
        <v>41</v>
      </c>
      <c r="C389" s="7">
        <v>988100549</v>
      </c>
      <c r="D389" s="17" t="s">
        <v>505</v>
      </c>
      <c r="E389" s="8"/>
    </row>
    <row r="390" spans="1:5" s="18" customFormat="1">
      <c r="A390" s="11" t="s">
        <v>309</v>
      </c>
      <c r="B390" s="11" t="s">
        <v>41</v>
      </c>
      <c r="C390" s="7">
        <v>988100550</v>
      </c>
      <c r="D390" s="17" t="s">
        <v>506</v>
      </c>
      <c r="E390" s="8"/>
    </row>
    <row r="391" spans="1:5" s="18" customFormat="1">
      <c r="A391" s="11" t="s">
        <v>309</v>
      </c>
      <c r="B391" s="11" t="s">
        <v>41</v>
      </c>
      <c r="C391" s="7">
        <v>988100551</v>
      </c>
      <c r="D391" s="17" t="s">
        <v>507</v>
      </c>
      <c r="E391" s="8"/>
    </row>
    <row r="392" spans="1:5" s="18" customFormat="1">
      <c r="A392" s="11" t="s">
        <v>309</v>
      </c>
      <c r="B392" s="11" t="s">
        <v>41</v>
      </c>
      <c r="C392" s="7">
        <v>988100552</v>
      </c>
      <c r="D392" s="17" t="s">
        <v>508</v>
      </c>
      <c r="E392" s="8"/>
    </row>
    <row r="393" spans="1:5" s="18" customFormat="1" ht="12.65" customHeight="1">
      <c r="A393" s="11" t="s">
        <v>309</v>
      </c>
      <c r="B393" s="11" t="s">
        <v>41</v>
      </c>
      <c r="C393" s="7">
        <v>988100553</v>
      </c>
      <c r="D393" s="17" t="s">
        <v>509</v>
      </c>
      <c r="E393" s="8"/>
    </row>
    <row r="394" spans="1:5" s="18" customFormat="1">
      <c r="A394" s="11" t="s">
        <v>309</v>
      </c>
      <c r="B394" s="11" t="s">
        <v>41</v>
      </c>
      <c r="C394" s="7">
        <v>988100554</v>
      </c>
      <c r="D394" s="17" t="s">
        <v>510</v>
      </c>
      <c r="E394" s="8"/>
    </row>
    <row r="395" spans="1:5" s="18" customFormat="1">
      <c r="A395" s="11" t="s">
        <v>309</v>
      </c>
      <c r="B395" s="11" t="s">
        <v>41</v>
      </c>
      <c r="C395" s="7">
        <v>988100555</v>
      </c>
      <c r="D395" s="17" t="s">
        <v>522</v>
      </c>
      <c r="E395" s="8"/>
    </row>
    <row r="396" spans="1:5" s="18" customFormat="1">
      <c r="A396" s="11" t="s">
        <v>309</v>
      </c>
      <c r="B396" s="11" t="s">
        <v>41</v>
      </c>
      <c r="C396" s="7">
        <v>988100556</v>
      </c>
      <c r="D396" s="17" t="s">
        <v>511</v>
      </c>
      <c r="E396" s="8"/>
    </row>
    <row r="397" spans="1:5" s="18" customFormat="1">
      <c r="A397" s="11" t="s">
        <v>309</v>
      </c>
      <c r="B397" s="11" t="s">
        <v>41</v>
      </c>
      <c r="C397" s="7">
        <v>988100557</v>
      </c>
      <c r="D397" s="17" t="s">
        <v>512</v>
      </c>
      <c r="E397" s="8"/>
    </row>
    <row r="398" spans="1:5" s="18" customFormat="1">
      <c r="A398" s="11" t="s">
        <v>309</v>
      </c>
      <c r="B398" s="11" t="s">
        <v>41</v>
      </c>
      <c r="C398" s="7">
        <v>988100558</v>
      </c>
      <c r="D398" s="17" t="s">
        <v>523</v>
      </c>
      <c r="E398" s="8"/>
    </row>
    <row r="399" spans="1:5" s="18" customFormat="1">
      <c r="A399" s="11" t="s">
        <v>309</v>
      </c>
      <c r="B399" s="11" t="s">
        <v>41</v>
      </c>
      <c r="C399" s="7">
        <v>988100559</v>
      </c>
      <c r="D399" s="17" t="s">
        <v>513</v>
      </c>
      <c r="E399" s="8"/>
    </row>
    <row r="400" spans="1:5" s="18" customFormat="1">
      <c r="A400" s="11" t="s">
        <v>309</v>
      </c>
      <c r="B400" s="11" t="s">
        <v>41</v>
      </c>
      <c r="C400" s="7">
        <v>988100560</v>
      </c>
      <c r="D400" s="17" t="s">
        <v>514</v>
      </c>
      <c r="E400" s="8"/>
    </row>
    <row r="401" spans="1:5" s="18" customFormat="1">
      <c r="A401" s="11" t="s">
        <v>309</v>
      </c>
      <c r="B401" s="11" t="s">
        <v>41</v>
      </c>
      <c r="C401" s="7">
        <v>988100561</v>
      </c>
      <c r="D401" s="17" t="s">
        <v>524</v>
      </c>
      <c r="E401" s="8"/>
    </row>
    <row r="402" spans="1:5" s="18" customFormat="1">
      <c r="A402" s="11" t="s">
        <v>309</v>
      </c>
      <c r="B402" s="11" t="s">
        <v>41</v>
      </c>
      <c r="C402" s="7">
        <v>988100562</v>
      </c>
      <c r="D402" s="17" t="s">
        <v>525</v>
      </c>
      <c r="E402" s="8"/>
    </row>
    <row r="403" spans="1:5" s="18" customFormat="1">
      <c r="A403" s="11" t="s">
        <v>309</v>
      </c>
      <c r="B403" s="11" t="s">
        <v>41</v>
      </c>
      <c r="C403" s="7">
        <v>988100563</v>
      </c>
      <c r="D403" s="17" t="s">
        <v>515</v>
      </c>
      <c r="E403" s="8"/>
    </row>
    <row r="404" spans="1:5" s="18" customFormat="1">
      <c r="A404" s="11" t="s">
        <v>25</v>
      </c>
      <c r="B404" s="11" t="s">
        <v>7</v>
      </c>
      <c r="C404" s="7">
        <v>988100566</v>
      </c>
      <c r="D404" s="15" t="s">
        <v>28</v>
      </c>
      <c r="E404" s="8">
        <v>104</v>
      </c>
    </row>
    <row r="405" spans="1:5" s="18" customFormat="1">
      <c r="A405" s="11" t="s">
        <v>25</v>
      </c>
      <c r="B405" s="11" t="s">
        <v>7</v>
      </c>
      <c r="C405" s="7">
        <v>988100567</v>
      </c>
      <c r="D405" s="40" t="s">
        <v>528</v>
      </c>
      <c r="E405" s="8"/>
    </row>
    <row r="406" spans="1:5" s="18" customFormat="1" ht="12.65" customHeight="1">
      <c r="A406" s="11" t="s">
        <v>25</v>
      </c>
      <c r="B406" s="11" t="s">
        <v>7</v>
      </c>
      <c r="C406" s="7">
        <v>988100568</v>
      </c>
      <c r="D406" s="40" t="s">
        <v>552</v>
      </c>
      <c r="E406" s="8"/>
    </row>
    <row r="407" spans="1:5" s="18" customFormat="1">
      <c r="A407" s="11" t="s">
        <v>25</v>
      </c>
      <c r="B407" s="11" t="s">
        <v>7</v>
      </c>
      <c r="C407" s="7">
        <v>988100569</v>
      </c>
      <c r="D407" s="15" t="s">
        <v>29</v>
      </c>
      <c r="E407" s="8">
        <v>115</v>
      </c>
    </row>
    <row r="408" spans="1:5" s="18" customFormat="1">
      <c r="A408" s="11" t="s">
        <v>40</v>
      </c>
      <c r="B408" s="11" t="s">
        <v>41</v>
      </c>
      <c r="C408" s="7">
        <v>988100570</v>
      </c>
      <c r="D408" s="15" t="s">
        <v>53</v>
      </c>
      <c r="E408" s="8"/>
    </row>
    <row r="409" spans="1:5" s="18" customFormat="1">
      <c r="A409" s="11" t="s">
        <v>25</v>
      </c>
      <c r="B409" s="11" t="s">
        <v>7</v>
      </c>
      <c r="C409" s="7">
        <v>988100571</v>
      </c>
      <c r="D409" s="15" t="s">
        <v>31</v>
      </c>
      <c r="E409" s="8">
        <v>23</v>
      </c>
    </row>
    <row r="410" spans="1:5" s="18" customFormat="1">
      <c r="A410" s="11" t="s">
        <v>25</v>
      </c>
      <c r="B410" s="11" t="s">
        <v>7</v>
      </c>
      <c r="C410" s="7">
        <v>988100572</v>
      </c>
      <c r="D410" s="15" t="s">
        <v>30</v>
      </c>
      <c r="E410" s="8">
        <v>91</v>
      </c>
    </row>
    <row r="411" spans="1:5" s="18" customFormat="1">
      <c r="A411" s="11" t="s">
        <v>124</v>
      </c>
      <c r="B411" s="11" t="s">
        <v>41</v>
      </c>
      <c r="C411" s="7">
        <v>988100578</v>
      </c>
      <c r="D411" s="17" t="s">
        <v>125</v>
      </c>
      <c r="E411" s="8"/>
    </row>
    <row r="412" spans="1:5" s="18" customFormat="1">
      <c r="A412" s="11" t="s">
        <v>124</v>
      </c>
      <c r="B412" s="11" t="s">
        <v>41</v>
      </c>
      <c r="C412" s="7">
        <v>988100579</v>
      </c>
      <c r="D412" s="17" t="s">
        <v>127</v>
      </c>
      <c r="E412" s="8"/>
    </row>
    <row r="413" spans="1:5" s="18" customFormat="1">
      <c r="A413" s="11" t="s">
        <v>124</v>
      </c>
      <c r="B413" s="11" t="s">
        <v>41</v>
      </c>
      <c r="C413" s="7">
        <v>988100580</v>
      </c>
      <c r="D413" s="17" t="s">
        <v>129</v>
      </c>
      <c r="E413" s="8"/>
    </row>
    <row r="414" spans="1:5" s="18" customFormat="1">
      <c r="A414" s="11" t="s">
        <v>124</v>
      </c>
      <c r="B414" s="11" t="s">
        <v>41</v>
      </c>
      <c r="C414" s="7">
        <v>988100581</v>
      </c>
      <c r="D414" s="17" t="s">
        <v>131</v>
      </c>
      <c r="E414" s="8"/>
    </row>
    <row r="415" spans="1:5" s="18" customFormat="1" ht="12.65" customHeight="1">
      <c r="A415" s="11" t="s">
        <v>124</v>
      </c>
      <c r="B415" s="11" t="s">
        <v>41</v>
      </c>
      <c r="C415" s="7">
        <v>988100582</v>
      </c>
      <c r="D415" s="17" t="s">
        <v>133</v>
      </c>
      <c r="E415" s="8">
        <v>21</v>
      </c>
    </row>
    <row r="416" spans="1:5" s="18" customFormat="1" ht="12.65" customHeight="1">
      <c r="A416" s="11" t="s">
        <v>124</v>
      </c>
      <c r="B416" s="11" t="s">
        <v>41</v>
      </c>
      <c r="C416" s="7">
        <v>988100583</v>
      </c>
      <c r="D416" s="17" t="s">
        <v>134</v>
      </c>
      <c r="E416" s="8">
        <v>26</v>
      </c>
    </row>
    <row r="417" spans="1:5" s="18" customFormat="1" ht="12.65" customHeight="1">
      <c r="A417" s="11" t="s">
        <v>124</v>
      </c>
      <c r="B417" s="11" t="s">
        <v>41</v>
      </c>
      <c r="C417" s="7">
        <v>988100584</v>
      </c>
      <c r="D417" s="17" t="s">
        <v>135</v>
      </c>
      <c r="E417" s="8">
        <v>15</v>
      </c>
    </row>
    <row r="418" spans="1:5" s="18" customFormat="1" ht="12.65" customHeight="1">
      <c r="A418" s="11" t="s">
        <v>124</v>
      </c>
      <c r="B418" s="11" t="s">
        <v>41</v>
      </c>
      <c r="C418" s="7">
        <v>988100585</v>
      </c>
      <c r="D418" s="17" t="s">
        <v>136</v>
      </c>
      <c r="E418" s="8">
        <v>30</v>
      </c>
    </row>
    <row r="419" spans="1:5" s="18" customFormat="1" ht="12.65" customHeight="1">
      <c r="A419" s="11" t="s">
        <v>124</v>
      </c>
      <c r="B419" s="11" t="s">
        <v>41</v>
      </c>
      <c r="C419" s="7">
        <v>988100586</v>
      </c>
      <c r="D419" s="17" t="s">
        <v>526</v>
      </c>
      <c r="E419" s="8"/>
    </row>
    <row r="420" spans="1:5" s="18" customFormat="1">
      <c r="A420" s="11" t="s">
        <v>124</v>
      </c>
      <c r="B420" s="11" t="s">
        <v>41</v>
      </c>
      <c r="C420" s="7">
        <v>988100587</v>
      </c>
      <c r="D420" s="17" t="s">
        <v>137</v>
      </c>
      <c r="E420" s="8"/>
    </row>
    <row r="421" spans="1:5" s="18" customFormat="1">
      <c r="A421" s="11" t="s">
        <v>124</v>
      </c>
      <c r="B421" s="11" t="s">
        <v>41</v>
      </c>
      <c r="C421" s="7">
        <v>988100588</v>
      </c>
      <c r="D421" s="17" t="s">
        <v>138</v>
      </c>
      <c r="E421" s="8"/>
    </row>
    <row r="422" spans="1:5" s="18" customFormat="1" ht="12.65" customHeight="1">
      <c r="A422" s="11" t="s">
        <v>124</v>
      </c>
      <c r="B422" s="11" t="s">
        <v>41</v>
      </c>
      <c r="C422" s="56">
        <v>988100589</v>
      </c>
      <c r="D422" s="30" t="s">
        <v>139</v>
      </c>
      <c r="E422" s="8"/>
    </row>
    <row r="423" spans="1:5" s="18" customFormat="1">
      <c r="A423" s="11" t="s">
        <v>124</v>
      </c>
      <c r="B423" s="11" t="s">
        <v>41</v>
      </c>
      <c r="C423" s="7">
        <v>988100590</v>
      </c>
      <c r="D423" s="17" t="s">
        <v>140</v>
      </c>
      <c r="E423" s="8"/>
    </row>
    <row r="424" spans="1:5" s="18" customFormat="1">
      <c r="A424" s="11" t="s">
        <v>124</v>
      </c>
      <c r="B424" s="11" t="s">
        <v>41</v>
      </c>
      <c r="C424" s="7">
        <v>988100591</v>
      </c>
      <c r="D424" s="17" t="s">
        <v>141</v>
      </c>
      <c r="E424" s="8"/>
    </row>
    <row r="425" spans="1:5" s="18" customFormat="1" ht="12.65" customHeight="1">
      <c r="A425" s="11" t="s">
        <v>124</v>
      </c>
      <c r="B425" s="11" t="s">
        <v>41</v>
      </c>
      <c r="C425" s="7">
        <v>988100592</v>
      </c>
      <c r="D425" s="17" t="s">
        <v>142</v>
      </c>
      <c r="E425" s="8"/>
    </row>
    <row r="426" spans="1:5" s="18" customFormat="1" ht="12.65" customHeight="1">
      <c r="A426" s="11" t="s">
        <v>124</v>
      </c>
      <c r="B426" s="11" t="s">
        <v>41</v>
      </c>
      <c r="C426" s="7">
        <v>988100593</v>
      </c>
      <c r="D426" s="17" t="s">
        <v>143</v>
      </c>
      <c r="E426" s="8">
        <v>8</v>
      </c>
    </row>
    <row r="427" spans="1:5" s="18" customFormat="1">
      <c r="A427" s="11" t="s">
        <v>124</v>
      </c>
      <c r="B427" s="11" t="s">
        <v>41</v>
      </c>
      <c r="C427" s="70">
        <v>988100594</v>
      </c>
      <c r="D427" s="127" t="s">
        <v>144</v>
      </c>
      <c r="E427" s="8"/>
    </row>
    <row r="428" spans="1:5" s="18" customFormat="1">
      <c r="A428" s="11" t="s">
        <v>124</v>
      </c>
      <c r="B428" s="11" t="s">
        <v>41</v>
      </c>
      <c r="C428" s="7">
        <v>988100595</v>
      </c>
      <c r="D428" s="17" t="s">
        <v>145</v>
      </c>
      <c r="E428" s="8"/>
    </row>
    <row r="429" spans="1:5" s="18" customFormat="1">
      <c r="A429" s="11" t="s">
        <v>124</v>
      </c>
      <c r="B429" s="11" t="s">
        <v>41</v>
      </c>
      <c r="C429" s="7">
        <v>988100596</v>
      </c>
      <c r="D429" s="17" t="s">
        <v>146</v>
      </c>
      <c r="E429" s="8"/>
    </row>
    <row r="430" spans="1:5" s="18" customFormat="1">
      <c r="A430" s="11" t="s">
        <v>25</v>
      </c>
      <c r="B430" s="11" t="s">
        <v>7</v>
      </c>
      <c r="C430" s="7">
        <v>988100597</v>
      </c>
      <c r="D430" s="15" t="s">
        <v>219</v>
      </c>
      <c r="E430" s="8">
        <v>84</v>
      </c>
    </row>
    <row r="431" spans="1:5" s="18" customFormat="1">
      <c r="A431" s="11" t="s">
        <v>89</v>
      </c>
      <c r="B431" s="11" t="s">
        <v>7</v>
      </c>
      <c r="C431" s="7">
        <v>988100600</v>
      </c>
      <c r="D431" s="15" t="s">
        <v>112</v>
      </c>
      <c r="E431" s="8">
        <v>43</v>
      </c>
    </row>
    <row r="432" spans="1:5" s="18" customFormat="1">
      <c r="A432" s="11" t="s">
        <v>25</v>
      </c>
      <c r="B432" s="11" t="s">
        <v>41</v>
      </c>
      <c r="C432" s="7">
        <v>988100601</v>
      </c>
      <c r="D432" s="15" t="s">
        <v>71</v>
      </c>
      <c r="E432" s="8">
        <v>27</v>
      </c>
    </row>
    <row r="433" spans="1:5" s="18" customFormat="1" ht="12.65" customHeight="1">
      <c r="A433" s="11" t="s">
        <v>25</v>
      </c>
      <c r="B433" s="11" t="s">
        <v>41</v>
      </c>
      <c r="C433" s="7">
        <v>988100602</v>
      </c>
      <c r="D433" s="15" t="s">
        <v>73</v>
      </c>
      <c r="E433" s="8">
        <v>7</v>
      </c>
    </row>
    <row r="434" spans="1:5" s="18" customFormat="1" ht="12.65" customHeight="1">
      <c r="A434" s="11" t="s">
        <v>25</v>
      </c>
      <c r="B434" s="11" t="s">
        <v>41</v>
      </c>
      <c r="C434" s="7">
        <v>988100605</v>
      </c>
      <c r="D434" s="17" t="s">
        <v>75</v>
      </c>
      <c r="E434" s="8">
        <v>5</v>
      </c>
    </row>
    <row r="435" spans="1:5" s="18" customFormat="1" ht="12.65" customHeight="1">
      <c r="A435" s="11" t="s">
        <v>25</v>
      </c>
      <c r="B435" s="11" t="s">
        <v>41</v>
      </c>
      <c r="C435" s="7">
        <v>988100606</v>
      </c>
      <c r="D435" s="30" t="s">
        <v>77</v>
      </c>
      <c r="E435" s="8">
        <v>4</v>
      </c>
    </row>
    <row r="436" spans="1:5" s="18" customFormat="1" ht="12.65" customHeight="1">
      <c r="A436" s="11" t="s">
        <v>25</v>
      </c>
      <c r="B436" s="11" t="s">
        <v>7</v>
      </c>
      <c r="C436" s="7">
        <v>988100609</v>
      </c>
      <c r="D436" s="17" t="s">
        <v>531</v>
      </c>
      <c r="E436" s="8"/>
    </row>
    <row r="437" spans="1:5" s="18" customFormat="1">
      <c r="A437" s="11" t="s">
        <v>25</v>
      </c>
      <c r="B437" s="11" t="s">
        <v>7</v>
      </c>
      <c r="C437" s="7">
        <v>988100610</v>
      </c>
      <c r="D437" s="17" t="s">
        <v>33</v>
      </c>
      <c r="E437" s="8">
        <v>79</v>
      </c>
    </row>
    <row r="438" spans="1:5" s="18" customFormat="1">
      <c r="A438" s="11" t="s">
        <v>25</v>
      </c>
      <c r="B438" s="11" t="s">
        <v>7</v>
      </c>
      <c r="C438" s="7">
        <v>988100611</v>
      </c>
      <c r="D438" s="17" t="s">
        <v>123</v>
      </c>
      <c r="E438" s="8">
        <v>79</v>
      </c>
    </row>
    <row r="439" spans="1:5" s="18" customFormat="1">
      <c r="A439" s="11" t="s">
        <v>25</v>
      </c>
      <c r="B439" s="11" t="s">
        <v>7</v>
      </c>
      <c r="C439" s="7">
        <v>988100613</v>
      </c>
      <c r="D439" s="17" t="s">
        <v>32</v>
      </c>
      <c r="E439" s="8">
        <v>38</v>
      </c>
    </row>
    <row r="440" spans="1:5" s="18" customFormat="1" ht="12.65" customHeight="1">
      <c r="A440" s="11" t="s">
        <v>25</v>
      </c>
      <c r="B440" s="11" t="s">
        <v>7</v>
      </c>
      <c r="C440" s="7">
        <v>988100614</v>
      </c>
      <c r="D440" s="17" t="s">
        <v>534</v>
      </c>
      <c r="E440" s="8"/>
    </row>
    <row r="441" spans="1:5" s="18" customFormat="1">
      <c r="A441" s="11" t="s">
        <v>25</v>
      </c>
      <c r="B441" s="11" t="s">
        <v>7</v>
      </c>
      <c r="C441" s="7">
        <v>988100617</v>
      </c>
      <c r="D441" s="100" t="s">
        <v>555</v>
      </c>
      <c r="E441" s="8"/>
    </row>
    <row r="442" spans="1:5" s="18" customFormat="1" ht="12.65" customHeight="1">
      <c r="A442" s="11" t="s">
        <v>25</v>
      </c>
      <c r="B442" s="11" t="s">
        <v>7</v>
      </c>
      <c r="C442" s="7">
        <v>988100618</v>
      </c>
      <c r="D442" s="7" t="s">
        <v>724</v>
      </c>
      <c r="E442" s="8"/>
    </row>
    <row r="443" spans="1:5" s="18" customFormat="1">
      <c r="A443" s="11" t="s">
        <v>89</v>
      </c>
      <c r="B443" s="11" t="s">
        <v>7</v>
      </c>
      <c r="C443" s="7">
        <v>988100627</v>
      </c>
      <c r="D443" s="40" t="s">
        <v>113</v>
      </c>
      <c r="E443" s="8">
        <v>2</v>
      </c>
    </row>
    <row r="444" spans="1:5" s="18" customFormat="1" ht="12.65" customHeight="1">
      <c r="A444" s="11" t="s">
        <v>6</v>
      </c>
      <c r="B444" s="11" t="s">
        <v>7</v>
      </c>
      <c r="C444" s="7">
        <v>988100629</v>
      </c>
      <c r="D444" s="7" t="s">
        <v>20</v>
      </c>
      <c r="E444" s="8">
        <v>37</v>
      </c>
    </row>
    <row r="445" spans="1:5" s="18" customFormat="1" ht="12.65" customHeight="1">
      <c r="A445" s="11" t="s">
        <v>25</v>
      </c>
      <c r="B445" s="11" t="s">
        <v>7</v>
      </c>
      <c r="C445" s="7">
        <v>988100633</v>
      </c>
      <c r="D445" s="17" t="s">
        <v>549</v>
      </c>
      <c r="E445" s="8"/>
    </row>
    <row r="446" spans="1:5" s="18" customFormat="1" ht="12.65" customHeight="1">
      <c r="A446" s="11" t="s">
        <v>124</v>
      </c>
      <c r="B446" s="11" t="s">
        <v>41</v>
      </c>
      <c r="C446" s="7">
        <v>988100634</v>
      </c>
      <c r="D446" s="17" t="s">
        <v>147</v>
      </c>
      <c r="E446" s="8">
        <v>8</v>
      </c>
    </row>
    <row r="447" spans="1:5" s="18" customFormat="1">
      <c r="A447" s="11" t="s">
        <v>124</v>
      </c>
      <c r="B447" s="11" t="s">
        <v>41</v>
      </c>
      <c r="C447" s="7">
        <v>988100635</v>
      </c>
      <c r="D447" s="17" t="s">
        <v>148</v>
      </c>
      <c r="E447" s="8">
        <v>6</v>
      </c>
    </row>
    <row r="448" spans="1:5" s="18" customFormat="1">
      <c r="A448" s="11" t="s">
        <v>124</v>
      </c>
      <c r="B448" s="11" t="s">
        <v>41</v>
      </c>
      <c r="C448" s="7">
        <v>988100636</v>
      </c>
      <c r="D448" s="17" t="s">
        <v>149</v>
      </c>
      <c r="E448" s="8">
        <v>10</v>
      </c>
    </row>
    <row r="449" spans="1:5" s="18" customFormat="1">
      <c r="A449" s="11" t="s">
        <v>25</v>
      </c>
      <c r="B449" s="11" t="s">
        <v>7</v>
      </c>
      <c r="C449" s="7">
        <v>988100637</v>
      </c>
      <c r="D449" s="15" t="s">
        <v>547</v>
      </c>
      <c r="E449" s="8"/>
    </row>
    <row r="450" spans="1:5" s="18" customFormat="1" ht="12.65" customHeight="1">
      <c r="A450" s="11" t="s">
        <v>25</v>
      </c>
      <c r="B450" s="11" t="s">
        <v>7</v>
      </c>
      <c r="C450" s="7">
        <v>988100639</v>
      </c>
      <c r="D450" s="40" t="s">
        <v>725</v>
      </c>
      <c r="E450" s="8"/>
    </row>
    <row r="451" spans="1:5" s="18" customFormat="1" ht="12.65" customHeight="1">
      <c r="A451" s="11" t="s">
        <v>89</v>
      </c>
      <c r="B451" s="11" t="s">
        <v>7</v>
      </c>
      <c r="C451" s="7">
        <v>988100640</v>
      </c>
      <c r="D451" s="15" t="s">
        <v>114</v>
      </c>
      <c r="E451" s="8">
        <v>7</v>
      </c>
    </row>
    <row r="452" spans="1:5" s="18" customFormat="1" ht="12.65" customHeight="1">
      <c r="A452" s="72" t="s">
        <v>25</v>
      </c>
      <c r="B452" s="72" t="s">
        <v>7</v>
      </c>
      <c r="C452" s="56">
        <v>988100649</v>
      </c>
      <c r="D452" s="118" t="s">
        <v>553</v>
      </c>
      <c r="E452" s="8"/>
    </row>
    <row r="453" spans="1:5" s="18" customFormat="1" ht="12.65" customHeight="1">
      <c r="A453" s="72" t="s">
        <v>25</v>
      </c>
      <c r="B453" s="72" t="s">
        <v>41</v>
      </c>
      <c r="C453" s="7">
        <v>988100660</v>
      </c>
      <c r="D453" s="118" t="s">
        <v>175</v>
      </c>
      <c r="E453" s="8">
        <v>12</v>
      </c>
    </row>
    <row r="454" spans="1:5" s="18" customFormat="1" ht="12.65" customHeight="1">
      <c r="A454" s="72" t="s">
        <v>40</v>
      </c>
      <c r="B454" s="72" t="s">
        <v>41</v>
      </c>
      <c r="C454" s="7">
        <v>988100661</v>
      </c>
      <c r="D454" s="118" t="s">
        <v>57</v>
      </c>
      <c r="E454" s="8">
        <v>15</v>
      </c>
    </row>
    <row r="455" spans="1:5" s="18" customFormat="1" ht="12.65" customHeight="1">
      <c r="A455" s="11" t="s">
        <v>40</v>
      </c>
      <c r="B455" s="11" t="s">
        <v>41</v>
      </c>
      <c r="C455" s="7">
        <v>988100662</v>
      </c>
      <c r="D455" s="40" t="s">
        <v>59</v>
      </c>
      <c r="E455" s="8"/>
    </row>
    <row r="456" spans="1:5" s="18" customFormat="1" ht="12.65" customHeight="1">
      <c r="A456" s="11" t="s">
        <v>25</v>
      </c>
      <c r="B456" s="11" t="s">
        <v>7</v>
      </c>
      <c r="C456" s="7">
        <v>988100663</v>
      </c>
      <c r="D456" s="160" t="s">
        <v>121</v>
      </c>
      <c r="E456" s="8">
        <v>47</v>
      </c>
    </row>
    <row r="457" spans="1:5" s="18" customFormat="1" ht="12.65" customHeight="1">
      <c r="A457" s="5" t="s">
        <v>124</v>
      </c>
      <c r="B457" s="5" t="s">
        <v>41</v>
      </c>
      <c r="C457" s="79">
        <v>988100664</v>
      </c>
      <c r="D457" s="102" t="s">
        <v>150</v>
      </c>
      <c r="E457" s="8"/>
    </row>
    <row r="458" spans="1:5" s="18" customFormat="1" ht="12.65" customHeight="1">
      <c r="A458" s="5" t="s">
        <v>124</v>
      </c>
      <c r="B458" s="5" t="s">
        <v>41</v>
      </c>
      <c r="C458" s="79">
        <v>988100665</v>
      </c>
      <c r="D458" s="102" t="s">
        <v>151</v>
      </c>
      <c r="E458" s="8"/>
    </row>
    <row r="459" spans="1:5" s="18" customFormat="1" ht="12.65" customHeight="1">
      <c r="A459" s="5" t="s">
        <v>124</v>
      </c>
      <c r="B459" s="5" t="s">
        <v>41</v>
      </c>
      <c r="C459" s="79">
        <v>988100666</v>
      </c>
      <c r="D459" s="102" t="s">
        <v>152</v>
      </c>
      <c r="E459" s="8"/>
    </row>
    <row r="460" spans="1:5" s="18" customFormat="1" ht="12.65" customHeight="1">
      <c r="A460" s="11" t="s">
        <v>89</v>
      </c>
      <c r="B460" s="11" t="s">
        <v>7</v>
      </c>
      <c r="C460" s="7">
        <v>988100667</v>
      </c>
      <c r="D460" s="79" t="s">
        <v>120</v>
      </c>
      <c r="E460" s="8">
        <v>30</v>
      </c>
    </row>
    <row r="461" spans="1:5" s="18" customFormat="1" ht="12.65" customHeight="1">
      <c r="A461" s="11" t="s">
        <v>40</v>
      </c>
      <c r="B461" s="11" t="s">
        <v>41</v>
      </c>
      <c r="C461" s="79">
        <v>988100668</v>
      </c>
      <c r="D461" s="161" t="s">
        <v>155</v>
      </c>
      <c r="E461" s="8">
        <v>22</v>
      </c>
    </row>
    <row r="462" spans="1:5" s="18" customFormat="1">
      <c r="A462" s="11" t="s">
        <v>6</v>
      </c>
      <c r="B462" s="11" t="s">
        <v>7</v>
      </c>
      <c r="C462" s="7">
        <v>988100673</v>
      </c>
      <c r="D462" s="12" t="s">
        <v>213</v>
      </c>
      <c r="E462" s="8"/>
    </row>
    <row r="463" spans="1:5" s="18" customFormat="1" ht="12.65" customHeight="1">
      <c r="A463" s="11" t="s">
        <v>6</v>
      </c>
      <c r="B463" s="11" t="s">
        <v>7</v>
      </c>
      <c r="C463" s="7">
        <v>988100674</v>
      </c>
      <c r="D463" s="17" t="s">
        <v>214</v>
      </c>
      <c r="E463" s="8"/>
    </row>
    <row r="464" spans="1:5" s="18" customFormat="1">
      <c r="A464" s="11" t="s">
        <v>6</v>
      </c>
      <c r="B464" s="11" t="s">
        <v>7</v>
      </c>
      <c r="C464" s="7">
        <v>988100675</v>
      </c>
      <c r="D464" s="17" t="s">
        <v>215</v>
      </c>
      <c r="E464" s="8">
        <v>40</v>
      </c>
    </row>
    <row r="465" spans="1:5" s="18" customFormat="1" ht="12.65" customHeight="1">
      <c r="A465" s="11" t="s">
        <v>6</v>
      </c>
      <c r="B465" s="11" t="s">
        <v>7</v>
      </c>
      <c r="C465" s="7">
        <v>988100676</v>
      </c>
      <c r="D465" s="17" t="s">
        <v>216</v>
      </c>
      <c r="E465" s="8">
        <v>58</v>
      </c>
    </row>
    <row r="466" spans="1:5" s="18" customFormat="1" ht="12.65" customHeight="1">
      <c r="A466" s="11" t="s">
        <v>25</v>
      </c>
      <c r="B466" s="11" t="s">
        <v>41</v>
      </c>
      <c r="C466" s="7">
        <v>988100677</v>
      </c>
      <c r="D466" s="12" t="s">
        <v>169</v>
      </c>
      <c r="E466" s="8"/>
    </row>
    <row r="467" spans="1:5" s="18" customFormat="1" ht="12.65" customHeight="1">
      <c r="A467" s="11" t="s">
        <v>25</v>
      </c>
      <c r="B467" s="11" t="s">
        <v>41</v>
      </c>
      <c r="C467" s="7">
        <v>988100678</v>
      </c>
      <c r="D467" s="17" t="s">
        <v>170</v>
      </c>
      <c r="E467" s="8"/>
    </row>
    <row r="468" spans="1:5" s="18" customFormat="1" ht="12.65" customHeight="1">
      <c r="A468" s="11" t="s">
        <v>6</v>
      </c>
      <c r="B468" s="11" t="s">
        <v>7</v>
      </c>
      <c r="C468" s="7">
        <v>988100679</v>
      </c>
      <c r="D468" s="102" t="s">
        <v>726</v>
      </c>
      <c r="E468" s="8"/>
    </row>
    <row r="469" spans="1:5" s="18" customFormat="1" ht="12.65" customHeight="1">
      <c r="A469" s="11" t="s">
        <v>6</v>
      </c>
      <c r="B469" s="11" t="s">
        <v>41</v>
      </c>
      <c r="C469" s="7">
        <v>988100680</v>
      </c>
      <c r="D469" s="102" t="s">
        <v>172</v>
      </c>
      <c r="E469" s="8"/>
    </row>
    <row r="470" spans="1:5" s="18" customFormat="1" ht="12.65" customHeight="1">
      <c r="A470" s="11" t="s">
        <v>6</v>
      </c>
      <c r="B470" s="11" t="s">
        <v>7</v>
      </c>
      <c r="C470" s="7">
        <v>988100681</v>
      </c>
      <c r="D470" s="102" t="s">
        <v>217</v>
      </c>
      <c r="E470" s="8">
        <v>32</v>
      </c>
    </row>
    <row r="471" spans="1:5" s="18" customFormat="1">
      <c r="A471" s="11" t="s">
        <v>40</v>
      </c>
      <c r="B471" s="11" t="s">
        <v>41</v>
      </c>
      <c r="C471" s="156">
        <v>988100682</v>
      </c>
      <c r="D471" s="100" t="s">
        <v>221</v>
      </c>
      <c r="E471" s="8"/>
    </row>
    <row r="472" spans="1:5" s="18" customFormat="1">
      <c r="A472" s="11" t="s">
        <v>40</v>
      </c>
      <c r="B472" s="11" t="s">
        <v>41</v>
      </c>
      <c r="C472" s="162">
        <v>988100683</v>
      </c>
      <c r="D472" s="106" t="s">
        <v>223</v>
      </c>
      <c r="E472" s="8">
        <v>2</v>
      </c>
    </row>
    <row r="473" spans="1:5" s="18" customFormat="1" ht="12.65" customHeight="1">
      <c r="A473" s="11" t="s">
        <v>40</v>
      </c>
      <c r="B473" s="11" t="s">
        <v>41</v>
      </c>
      <c r="C473" s="156">
        <v>988100684</v>
      </c>
      <c r="D473" s="17" t="s">
        <v>225</v>
      </c>
      <c r="E473" s="8">
        <v>25</v>
      </c>
    </row>
    <row r="474" spans="1:5" s="18" customFormat="1" ht="12.65" customHeight="1">
      <c r="A474" s="11" t="s">
        <v>40</v>
      </c>
      <c r="B474" s="11" t="s">
        <v>41</v>
      </c>
      <c r="C474" s="156">
        <v>988100685</v>
      </c>
      <c r="D474" s="17" t="s">
        <v>227</v>
      </c>
      <c r="E474" s="8">
        <v>25</v>
      </c>
    </row>
    <row r="475" spans="1:5" s="18" customFormat="1" ht="12.65" customHeight="1">
      <c r="A475" s="11" t="s">
        <v>6</v>
      </c>
      <c r="B475" s="11" t="s">
        <v>41</v>
      </c>
      <c r="C475" s="156">
        <v>988100686</v>
      </c>
      <c r="D475" s="17" t="s">
        <v>173</v>
      </c>
      <c r="E475" s="8"/>
    </row>
    <row r="476" spans="1:5" s="18" customFormat="1">
      <c r="A476" s="11" t="s">
        <v>25</v>
      </c>
      <c r="B476" s="5" t="s">
        <v>7</v>
      </c>
      <c r="C476" s="156">
        <v>988100688</v>
      </c>
      <c r="D476" s="161" t="s">
        <v>177</v>
      </c>
      <c r="E476" s="8"/>
    </row>
    <row r="477" spans="1:5" s="18" customFormat="1" ht="12.65" customHeight="1">
      <c r="A477" s="11" t="s">
        <v>25</v>
      </c>
      <c r="B477" s="5" t="s">
        <v>7</v>
      </c>
      <c r="C477" s="156">
        <v>988100689</v>
      </c>
      <c r="D477" s="102" t="s">
        <v>178</v>
      </c>
      <c r="E477" s="8">
        <v>5</v>
      </c>
    </row>
    <row r="478" spans="1:5" s="18" customFormat="1" ht="12.65" customHeight="1">
      <c r="A478" s="11" t="s">
        <v>25</v>
      </c>
      <c r="B478" s="5" t="s">
        <v>7</v>
      </c>
      <c r="C478" s="156">
        <v>988100690</v>
      </c>
      <c r="D478" s="102" t="s">
        <v>179</v>
      </c>
      <c r="E478" s="8"/>
    </row>
    <row r="479" spans="1:5" s="18" customFormat="1" ht="12.65" customHeight="1">
      <c r="A479" s="11" t="s">
        <v>25</v>
      </c>
      <c r="B479" s="5" t="s">
        <v>7</v>
      </c>
      <c r="C479" s="156">
        <v>988100691</v>
      </c>
      <c r="D479" s="79" t="s">
        <v>180</v>
      </c>
      <c r="E479" s="8"/>
    </row>
    <row r="480" spans="1:5" s="18" customFormat="1">
      <c r="A480" s="11" t="s">
        <v>25</v>
      </c>
      <c r="B480" s="5" t="s">
        <v>7</v>
      </c>
      <c r="C480" s="123">
        <v>988100692</v>
      </c>
      <c r="D480" s="124" t="s">
        <v>185</v>
      </c>
      <c r="E480" s="8"/>
    </row>
    <row r="481" spans="1:5" s="18" customFormat="1">
      <c r="A481" s="11" t="s">
        <v>25</v>
      </c>
      <c r="B481" s="5" t="s">
        <v>7</v>
      </c>
      <c r="C481" s="123">
        <v>988100693</v>
      </c>
      <c r="D481" s="124" t="s">
        <v>186</v>
      </c>
      <c r="E481" s="8"/>
    </row>
    <row r="482" spans="1:5" s="18" customFormat="1">
      <c r="A482" s="11" t="s">
        <v>25</v>
      </c>
      <c r="B482" s="5" t="s">
        <v>41</v>
      </c>
      <c r="C482" s="123">
        <v>988100694</v>
      </c>
      <c r="D482" s="124" t="s">
        <v>195</v>
      </c>
      <c r="E482" s="8">
        <v>1</v>
      </c>
    </row>
    <row r="483" spans="1:5" s="18" customFormat="1">
      <c r="A483" s="11" t="s">
        <v>25</v>
      </c>
      <c r="B483" s="5" t="s">
        <v>41</v>
      </c>
      <c r="C483" s="123">
        <v>988100695</v>
      </c>
      <c r="D483" s="124" t="s">
        <v>197</v>
      </c>
      <c r="E483" s="8"/>
    </row>
    <row r="484" spans="1:5" s="18" customFormat="1" ht="12.65" customHeight="1">
      <c r="A484" s="11" t="s">
        <v>25</v>
      </c>
      <c r="B484" s="5" t="s">
        <v>41</v>
      </c>
      <c r="C484" s="123">
        <v>988100696</v>
      </c>
      <c r="D484" s="124" t="s">
        <v>199</v>
      </c>
      <c r="E484" s="8">
        <v>5</v>
      </c>
    </row>
    <row r="485" spans="1:5" s="18" customFormat="1" ht="12.65" customHeight="1">
      <c r="A485" s="11" t="s">
        <v>25</v>
      </c>
      <c r="B485" s="5" t="s">
        <v>41</v>
      </c>
      <c r="C485" s="125">
        <v>988100697</v>
      </c>
      <c r="D485" s="126" t="s">
        <v>201</v>
      </c>
      <c r="E485" s="8"/>
    </row>
    <row r="486" spans="1:5" s="18" customFormat="1" ht="12.65" customHeight="1">
      <c r="A486" s="11" t="s">
        <v>25</v>
      </c>
      <c r="B486" s="5" t="s">
        <v>41</v>
      </c>
      <c r="C486" s="125">
        <v>988100698</v>
      </c>
      <c r="D486" s="124" t="s">
        <v>203</v>
      </c>
      <c r="E486" s="8">
        <v>9</v>
      </c>
    </row>
    <row r="487" spans="1:5" s="18" customFormat="1" ht="12.65" customHeight="1">
      <c r="A487" s="11" t="s">
        <v>25</v>
      </c>
      <c r="B487" s="5" t="s">
        <v>41</v>
      </c>
      <c r="C487" s="123">
        <v>988100699</v>
      </c>
      <c r="D487" s="124" t="s">
        <v>205</v>
      </c>
      <c r="E487" s="8">
        <v>1</v>
      </c>
    </row>
    <row r="488" spans="1:5" s="18" customFormat="1">
      <c r="A488" s="11" t="s">
        <v>25</v>
      </c>
      <c r="B488" s="5" t="s">
        <v>41</v>
      </c>
      <c r="C488" s="123">
        <v>988100700</v>
      </c>
      <c r="D488" s="163" t="s">
        <v>207</v>
      </c>
      <c r="E488" s="8">
        <v>3</v>
      </c>
    </row>
    <row r="489" spans="1:5" s="18" customFormat="1" ht="12.65" customHeight="1">
      <c r="A489" s="11" t="s">
        <v>25</v>
      </c>
      <c r="B489" s="5" t="s">
        <v>41</v>
      </c>
      <c r="C489" s="123">
        <v>988100701</v>
      </c>
      <c r="D489" s="102" t="s">
        <v>209</v>
      </c>
      <c r="E489" s="8"/>
    </row>
    <row r="490" spans="1:5" s="18" customFormat="1" ht="12.65" customHeight="1">
      <c r="A490" s="11" t="s">
        <v>40</v>
      </c>
      <c r="B490" s="11" t="s">
        <v>41</v>
      </c>
      <c r="C490" s="156">
        <v>988100704</v>
      </c>
      <c r="D490" s="102" t="s">
        <v>231</v>
      </c>
      <c r="E490" s="8">
        <v>21</v>
      </c>
    </row>
    <row r="491" spans="1:5" s="18" customFormat="1" ht="12.65" customHeight="1">
      <c r="A491" s="11" t="s">
        <v>25</v>
      </c>
      <c r="B491" s="11" t="s">
        <v>7</v>
      </c>
      <c r="C491" s="156">
        <v>988100705</v>
      </c>
      <c r="D491" s="164" t="s">
        <v>727</v>
      </c>
      <c r="E491" s="8"/>
    </row>
    <row r="492" spans="1:5" s="18" customFormat="1" ht="12.65" customHeight="1">
      <c r="A492" s="5" t="s">
        <v>89</v>
      </c>
      <c r="B492" s="5" t="s">
        <v>7</v>
      </c>
      <c r="C492" s="156">
        <v>988100706</v>
      </c>
      <c r="D492" s="102" t="s">
        <v>234</v>
      </c>
      <c r="E492" s="8">
        <v>24</v>
      </c>
    </row>
    <row r="493" spans="1:5" s="18" customFormat="1" ht="12.65" customHeight="1">
      <c r="A493" s="11" t="s">
        <v>25</v>
      </c>
      <c r="B493" s="11" t="s">
        <v>7</v>
      </c>
      <c r="C493" s="156">
        <v>988100707</v>
      </c>
      <c r="D493" s="102" t="s">
        <v>233</v>
      </c>
      <c r="E493" s="8"/>
    </row>
    <row r="494" spans="1:5" s="18" customFormat="1" ht="12.65" customHeight="1">
      <c r="A494" s="5" t="s">
        <v>25</v>
      </c>
      <c r="B494" s="5" t="s">
        <v>41</v>
      </c>
      <c r="C494" s="156">
        <v>988100708</v>
      </c>
      <c r="D494" s="102" t="s">
        <v>235</v>
      </c>
      <c r="E494" s="8"/>
    </row>
    <row r="495" spans="1:5" s="18" customFormat="1">
      <c r="A495" s="5" t="s">
        <v>40</v>
      </c>
      <c r="B495" s="5" t="s">
        <v>41</v>
      </c>
      <c r="C495" s="156">
        <v>988100709</v>
      </c>
      <c r="D495" s="102" t="s">
        <v>236</v>
      </c>
      <c r="E495" s="8"/>
    </row>
    <row r="496" spans="1:5" s="18" customFormat="1" ht="12.65" customHeight="1">
      <c r="A496" s="5" t="s">
        <v>25</v>
      </c>
      <c r="B496" s="5" t="s">
        <v>41</v>
      </c>
      <c r="C496" s="156">
        <v>988100710</v>
      </c>
      <c r="D496" s="102" t="s">
        <v>238</v>
      </c>
      <c r="E496" s="8"/>
    </row>
    <row r="497" spans="1:5" s="18" customFormat="1" ht="12.65" customHeight="1">
      <c r="A497" s="5" t="s">
        <v>25</v>
      </c>
      <c r="B497" s="5" t="s">
        <v>41</v>
      </c>
      <c r="C497" s="156">
        <v>988100711</v>
      </c>
      <c r="D497" s="102" t="s">
        <v>240</v>
      </c>
      <c r="E497" s="8"/>
    </row>
    <row r="498" spans="1:5" s="18" customFormat="1" ht="12.65" customHeight="1">
      <c r="A498" s="5" t="s">
        <v>25</v>
      </c>
      <c r="B498" s="5" t="s">
        <v>7</v>
      </c>
      <c r="C498" s="156">
        <v>988100712</v>
      </c>
      <c r="D498" s="102" t="s">
        <v>250</v>
      </c>
      <c r="E498" s="8"/>
    </row>
    <row r="499" spans="1:5" s="18" customFormat="1" ht="12.65" customHeight="1">
      <c r="A499" s="5" t="s">
        <v>25</v>
      </c>
      <c r="B499" s="5" t="s">
        <v>41</v>
      </c>
      <c r="C499" s="156">
        <v>988100713</v>
      </c>
      <c r="D499" s="102" t="s">
        <v>242</v>
      </c>
      <c r="E499" s="8"/>
    </row>
    <row r="500" spans="1:5" s="18" customFormat="1" ht="12.65" customHeight="1">
      <c r="A500" s="5" t="s">
        <v>25</v>
      </c>
      <c r="B500" s="5" t="s">
        <v>7</v>
      </c>
      <c r="C500" s="156">
        <v>988100716</v>
      </c>
      <c r="D500" s="102" t="s">
        <v>244</v>
      </c>
      <c r="E500" s="8"/>
    </row>
    <row r="501" spans="1:5" s="18" customFormat="1" ht="12.65" customHeight="1">
      <c r="A501" s="5" t="s">
        <v>25</v>
      </c>
      <c r="B501" s="5" t="s">
        <v>7</v>
      </c>
      <c r="C501" s="156">
        <v>988100717</v>
      </c>
      <c r="D501" s="79" t="s">
        <v>562</v>
      </c>
      <c r="E501" s="8"/>
    </row>
    <row r="502" spans="1:5" s="18" customFormat="1" ht="12.65" customHeight="1">
      <c r="A502" s="5" t="s">
        <v>25</v>
      </c>
      <c r="B502" s="5" t="s">
        <v>7</v>
      </c>
      <c r="C502" s="156">
        <v>988100718</v>
      </c>
      <c r="D502" s="9" t="s">
        <v>563</v>
      </c>
      <c r="E502" s="8"/>
    </row>
    <row r="503" spans="1:5" s="18" customFormat="1" ht="12.65" customHeight="1">
      <c r="A503" s="5" t="s">
        <v>25</v>
      </c>
      <c r="B503" s="5" t="s">
        <v>7</v>
      </c>
      <c r="C503" s="156">
        <v>988100721</v>
      </c>
      <c r="D503" s="79" t="s">
        <v>567</v>
      </c>
      <c r="E503" s="8"/>
    </row>
    <row r="504" spans="1:5" s="18" customFormat="1" ht="12.65" customHeight="1">
      <c r="A504" s="5" t="s">
        <v>25</v>
      </c>
      <c r="B504" s="5" t="s">
        <v>7</v>
      </c>
      <c r="C504" s="156">
        <v>988100722</v>
      </c>
      <c r="D504" s="79" t="s">
        <v>269</v>
      </c>
      <c r="E504" s="8"/>
    </row>
    <row r="505" spans="1:5" s="18" customFormat="1">
      <c r="A505" s="5" t="s">
        <v>25</v>
      </c>
      <c r="B505" s="5" t="s">
        <v>7</v>
      </c>
      <c r="C505" s="156">
        <v>988100724</v>
      </c>
      <c r="D505" s="165" t="s">
        <v>569</v>
      </c>
      <c r="E505" s="8"/>
    </row>
    <row r="506" spans="1:5" s="18" customFormat="1" ht="12.65" customHeight="1">
      <c r="A506" s="5" t="s">
        <v>25</v>
      </c>
      <c r="B506" s="5" t="s">
        <v>7</v>
      </c>
      <c r="C506" s="156">
        <v>988100725</v>
      </c>
      <c r="D506" s="79" t="s">
        <v>728</v>
      </c>
      <c r="E506" s="8"/>
    </row>
    <row r="507" spans="1:5" s="18" customFormat="1" ht="12.65" customHeight="1">
      <c r="A507" s="5" t="s">
        <v>25</v>
      </c>
      <c r="B507" s="5" t="s">
        <v>7</v>
      </c>
      <c r="C507" s="156">
        <v>988100726</v>
      </c>
      <c r="D507" s="7" t="s">
        <v>729</v>
      </c>
      <c r="E507" s="8"/>
    </row>
    <row r="508" spans="1:5" s="18" customFormat="1" ht="12.65" customHeight="1">
      <c r="A508" s="5" t="s">
        <v>25</v>
      </c>
      <c r="B508" s="5" t="s">
        <v>41</v>
      </c>
      <c r="C508" s="156">
        <v>988100727</v>
      </c>
      <c r="D508" s="102" t="s">
        <v>245</v>
      </c>
      <c r="E508" s="8">
        <v>2</v>
      </c>
    </row>
    <row r="509" spans="1:5" s="18" customFormat="1">
      <c r="A509" s="5" t="s">
        <v>25</v>
      </c>
      <c r="B509" s="5" t="s">
        <v>7</v>
      </c>
      <c r="C509" s="156">
        <v>988100728</v>
      </c>
      <c r="D509" s="17" t="s">
        <v>570</v>
      </c>
      <c r="E509" s="8">
        <v>15</v>
      </c>
    </row>
    <row r="510" spans="1:5" s="18" customFormat="1">
      <c r="A510" s="5" t="s">
        <v>25</v>
      </c>
      <c r="B510" s="5" t="s">
        <v>7</v>
      </c>
      <c r="C510" s="156">
        <v>988100729</v>
      </c>
      <c r="D510" s="17" t="s">
        <v>571</v>
      </c>
      <c r="E510" s="8">
        <v>1</v>
      </c>
    </row>
    <row r="511" spans="1:5" s="18" customFormat="1">
      <c r="A511" s="5" t="s">
        <v>25</v>
      </c>
      <c r="B511" s="5" t="s">
        <v>7</v>
      </c>
      <c r="C511" s="156">
        <v>988100730</v>
      </c>
      <c r="D511" s="17" t="s">
        <v>572</v>
      </c>
      <c r="E511" s="8">
        <v>15</v>
      </c>
    </row>
    <row r="512" spans="1:5" s="18" customFormat="1">
      <c r="A512" s="5" t="s">
        <v>25</v>
      </c>
      <c r="B512" s="5" t="s">
        <v>7</v>
      </c>
      <c r="C512" s="156">
        <v>988100731</v>
      </c>
      <c r="D512" s="17" t="s">
        <v>573</v>
      </c>
      <c r="E512" s="8">
        <v>6</v>
      </c>
    </row>
    <row r="513" spans="1:7" s="18" customFormat="1">
      <c r="A513" s="5" t="s">
        <v>25</v>
      </c>
      <c r="B513" s="5" t="s">
        <v>7</v>
      </c>
      <c r="C513" s="156">
        <v>988100734</v>
      </c>
      <c r="D513" s="17" t="s">
        <v>576</v>
      </c>
      <c r="E513" s="8"/>
    </row>
    <row r="514" spans="1:7" s="18" customFormat="1" ht="12.65" customHeight="1">
      <c r="A514" s="5" t="s">
        <v>25</v>
      </c>
      <c r="B514" s="5" t="s">
        <v>7</v>
      </c>
      <c r="C514" s="156">
        <v>988100735</v>
      </c>
      <c r="D514" s="17" t="s">
        <v>577</v>
      </c>
      <c r="E514" s="8">
        <v>8</v>
      </c>
    </row>
    <row r="515" spans="1:7" s="18" customFormat="1" ht="12.65" customHeight="1">
      <c r="A515" s="5" t="s">
        <v>25</v>
      </c>
      <c r="B515" s="5" t="s">
        <v>7</v>
      </c>
      <c r="C515" s="156">
        <v>988100736</v>
      </c>
      <c r="D515" s="17" t="s">
        <v>578</v>
      </c>
      <c r="E515" s="8">
        <v>46</v>
      </c>
    </row>
    <row r="516" spans="1:7" s="18" customFormat="1" ht="12.65" customHeight="1">
      <c r="A516" s="5" t="s">
        <v>25</v>
      </c>
      <c r="B516" s="5" t="s">
        <v>41</v>
      </c>
      <c r="C516" s="156">
        <v>988100737</v>
      </c>
      <c r="D516" s="102" t="s">
        <v>248</v>
      </c>
      <c r="E516" s="8">
        <v>7</v>
      </c>
    </row>
    <row r="517" spans="1:7" s="18" customFormat="1" ht="12.65" customHeight="1">
      <c r="A517" s="5" t="s">
        <v>6</v>
      </c>
      <c r="B517" s="5" t="s">
        <v>7</v>
      </c>
      <c r="C517" s="156">
        <v>988100738</v>
      </c>
      <c r="D517" s="102" t="s">
        <v>251</v>
      </c>
      <c r="E517" s="8"/>
    </row>
    <row r="518" spans="1:7" s="18" customFormat="1" ht="12.65" customHeight="1">
      <c r="A518" s="11" t="s">
        <v>40</v>
      </c>
      <c r="B518" s="11" t="s">
        <v>41</v>
      </c>
      <c r="C518" s="156">
        <v>988100739</v>
      </c>
      <c r="D518" s="102" t="s">
        <v>262</v>
      </c>
      <c r="E518" s="8"/>
    </row>
    <row r="519" spans="1:7" s="18" customFormat="1" ht="12.65" customHeight="1">
      <c r="A519" s="11" t="s">
        <v>40</v>
      </c>
      <c r="B519" s="11" t="s">
        <v>41</v>
      </c>
      <c r="C519" s="156">
        <v>988100746</v>
      </c>
      <c r="D519" s="102" t="s">
        <v>263</v>
      </c>
      <c r="E519" s="8"/>
    </row>
    <row r="520" spans="1:7" s="18" customFormat="1" ht="12.65" customHeight="1">
      <c r="A520" s="11" t="s">
        <v>25</v>
      </c>
      <c r="B520" s="11" t="s">
        <v>41</v>
      </c>
      <c r="C520" s="166" t="s">
        <v>308</v>
      </c>
      <c r="D520" s="102" t="s">
        <v>586</v>
      </c>
      <c r="E520" s="8">
        <v>2</v>
      </c>
    </row>
    <row r="521" spans="1:7" s="18" customFormat="1" ht="12.65" customHeight="1">
      <c r="A521" s="11" t="s">
        <v>25</v>
      </c>
      <c r="B521" s="11" t="s">
        <v>7</v>
      </c>
      <c r="C521" s="167">
        <v>98807150007</v>
      </c>
      <c r="D521" s="168" t="s">
        <v>730</v>
      </c>
      <c r="E521" s="8">
        <v>27</v>
      </c>
    </row>
    <row r="522" spans="1:7" s="18" customFormat="1" ht="12.65" customHeight="1">
      <c r="A522" s="11" t="s">
        <v>25</v>
      </c>
      <c r="B522" s="11" t="s">
        <v>7</v>
      </c>
      <c r="C522" s="167">
        <v>98807150008</v>
      </c>
      <c r="D522" s="169" t="s">
        <v>731</v>
      </c>
      <c r="E522" s="8">
        <v>30</v>
      </c>
    </row>
    <row r="523" spans="1:7" s="18" customFormat="1" ht="12.65" customHeight="1">
      <c r="A523" s="11" t="s">
        <v>25</v>
      </c>
      <c r="B523" s="11" t="s">
        <v>7</v>
      </c>
      <c r="C523" s="170">
        <v>98807150001</v>
      </c>
      <c r="D523" s="171" t="s">
        <v>732</v>
      </c>
      <c r="E523" s="8">
        <v>5</v>
      </c>
    </row>
    <row r="524" spans="1:7" s="18" customFormat="1" ht="12.65" customHeight="1">
      <c r="A524" s="5" t="s">
        <v>25</v>
      </c>
      <c r="B524" s="5" t="s">
        <v>7</v>
      </c>
      <c r="C524" s="170">
        <v>98807150002</v>
      </c>
      <c r="D524" s="172" t="s">
        <v>733</v>
      </c>
      <c r="E524" s="8">
        <v>5</v>
      </c>
    </row>
    <row r="525" spans="1:7">
      <c r="A525" s="72"/>
      <c r="B525" s="72"/>
      <c r="C525" s="56"/>
      <c r="D525" s="73"/>
      <c r="E525" s="173">
        <f>SUBTOTAL(109,Table14[STOK OPNAME])</f>
        <v>3763</v>
      </c>
      <c r="F525" s="9"/>
      <c r="G525" s="9"/>
    </row>
  </sheetData>
  <conditionalFormatting sqref="D2:D27 D41:D261 D29:D39">
    <cfRule type="duplicateValues" dxfId="1197" priority="80"/>
  </conditionalFormatting>
  <conditionalFormatting sqref="D7">
    <cfRule type="duplicateValues" dxfId="1196" priority="86"/>
  </conditionalFormatting>
  <conditionalFormatting sqref="D28">
    <cfRule type="duplicateValues" dxfId="1195" priority="1"/>
  </conditionalFormatting>
  <conditionalFormatting sqref="D31">
    <cfRule type="duplicateValues" dxfId="1194" priority="87"/>
  </conditionalFormatting>
  <conditionalFormatting sqref="D40">
    <cfRule type="duplicateValues" dxfId="1193" priority="21"/>
  </conditionalFormatting>
  <conditionalFormatting sqref="D200:D207">
    <cfRule type="duplicateValues" dxfId="1192" priority="83"/>
  </conditionalFormatting>
  <conditionalFormatting sqref="D201:D207">
    <cfRule type="duplicateValues" dxfId="1191" priority="82"/>
  </conditionalFormatting>
  <conditionalFormatting sqref="D208:D243">
    <cfRule type="duplicateValues" dxfId="1190" priority="81"/>
  </conditionalFormatting>
  <conditionalFormatting sqref="D244 D246:D261">
    <cfRule type="duplicateValues" dxfId="1189" priority="85"/>
  </conditionalFormatting>
  <conditionalFormatting sqref="D258:D261">
    <cfRule type="duplicateValues" dxfId="1188" priority="84"/>
  </conditionalFormatting>
  <conditionalFormatting sqref="D259:D261">
    <cfRule type="duplicateValues" dxfId="1187" priority="79"/>
  </conditionalFormatting>
  <conditionalFormatting sqref="D264:D266">
    <cfRule type="duplicateValues" dxfId="1186" priority="78"/>
  </conditionalFormatting>
  <conditionalFormatting sqref="D265:D266">
    <cfRule type="duplicateValues" dxfId="1185" priority="77"/>
  </conditionalFormatting>
  <conditionalFormatting sqref="D266">
    <cfRule type="duplicateValues" dxfId="1184" priority="76"/>
  </conditionalFormatting>
  <conditionalFormatting sqref="D269">
    <cfRule type="duplicateValues" dxfId="1183" priority="75"/>
  </conditionalFormatting>
  <conditionalFormatting sqref="D272:D278">
    <cfRule type="duplicateValues" dxfId="1182" priority="74"/>
  </conditionalFormatting>
  <conditionalFormatting sqref="D274:D278">
    <cfRule type="duplicateValues" dxfId="1181" priority="73"/>
  </conditionalFormatting>
  <conditionalFormatting sqref="D275:D278">
    <cfRule type="duplicateValues" dxfId="1180" priority="72"/>
  </conditionalFormatting>
  <conditionalFormatting sqref="D276:D278">
    <cfRule type="duplicateValues" dxfId="1179" priority="71"/>
  </conditionalFormatting>
  <conditionalFormatting sqref="D280:D281">
    <cfRule type="duplicateValues" dxfId="1178" priority="70"/>
  </conditionalFormatting>
  <conditionalFormatting sqref="D281">
    <cfRule type="duplicateValues" dxfId="1177" priority="69"/>
  </conditionalFormatting>
  <conditionalFormatting sqref="D283:D380">
    <cfRule type="duplicateValues" dxfId="1176" priority="68"/>
  </conditionalFormatting>
  <conditionalFormatting sqref="D366:D380">
    <cfRule type="duplicateValues" dxfId="1175" priority="67"/>
  </conditionalFormatting>
  <conditionalFormatting sqref="D367:D380">
    <cfRule type="duplicateValues" dxfId="1174" priority="66"/>
  </conditionalFormatting>
  <conditionalFormatting sqref="D368:D380">
    <cfRule type="duplicateValues" dxfId="1173" priority="65"/>
  </conditionalFormatting>
  <conditionalFormatting sqref="D370">
    <cfRule type="duplicateValues" dxfId="1172" priority="63"/>
  </conditionalFormatting>
  <conditionalFormatting sqref="D370:D373">
    <cfRule type="duplicateValues" dxfId="1171" priority="61"/>
  </conditionalFormatting>
  <conditionalFormatting sqref="D370:D380">
    <cfRule type="duplicateValues" dxfId="1170" priority="64"/>
  </conditionalFormatting>
  <conditionalFormatting sqref="D371:D373">
    <cfRule type="duplicateValues" dxfId="1169" priority="60"/>
  </conditionalFormatting>
  <conditionalFormatting sqref="D371:D380">
    <cfRule type="duplicateValues" dxfId="1168" priority="62"/>
  </conditionalFormatting>
  <conditionalFormatting sqref="D375:D380">
    <cfRule type="duplicateValues" dxfId="1167" priority="59"/>
  </conditionalFormatting>
  <conditionalFormatting sqref="D376:D380">
    <cfRule type="duplicateValues" dxfId="1166" priority="58"/>
  </conditionalFormatting>
  <conditionalFormatting sqref="D377:D380">
    <cfRule type="duplicateValues" dxfId="1165" priority="57"/>
  </conditionalFormatting>
  <conditionalFormatting sqref="D378:D380">
    <cfRule type="duplicateValues" dxfId="1164" priority="56"/>
  </conditionalFormatting>
  <conditionalFormatting sqref="D379:D380">
    <cfRule type="duplicateValues" dxfId="1163" priority="55"/>
  </conditionalFormatting>
  <conditionalFormatting sqref="D380">
    <cfRule type="duplicateValues" dxfId="1162" priority="54"/>
  </conditionalFormatting>
  <conditionalFormatting sqref="D396:D398">
    <cfRule type="duplicateValues" dxfId="1161" priority="53"/>
  </conditionalFormatting>
  <conditionalFormatting sqref="D398">
    <cfRule type="duplicateValues" dxfId="1160" priority="52"/>
  </conditionalFormatting>
  <conditionalFormatting sqref="D399">
    <cfRule type="duplicateValues" dxfId="1159" priority="9"/>
    <cfRule type="duplicateValues" dxfId="1158" priority="8"/>
    <cfRule type="duplicateValues" dxfId="1157" priority="7"/>
  </conditionalFormatting>
  <conditionalFormatting sqref="D400">
    <cfRule type="duplicateValues" dxfId="1156" priority="3"/>
  </conditionalFormatting>
  <conditionalFormatting sqref="D400:D401">
    <cfRule type="duplicateValues" dxfId="1155" priority="6"/>
    <cfRule type="duplicateValues" dxfId="1154" priority="5"/>
    <cfRule type="duplicateValues" dxfId="1153" priority="4"/>
  </conditionalFormatting>
  <conditionalFormatting sqref="D401">
    <cfRule type="duplicateValues" dxfId="1152" priority="2"/>
  </conditionalFormatting>
  <conditionalFormatting sqref="D402">
    <cfRule type="duplicateValues" dxfId="1151" priority="50"/>
  </conditionalFormatting>
  <conditionalFormatting sqref="D402:D426">
    <cfRule type="duplicateValues" dxfId="1150" priority="51"/>
  </conditionalFormatting>
  <conditionalFormatting sqref="D403">
    <cfRule type="duplicateValues" dxfId="1149" priority="49"/>
  </conditionalFormatting>
  <conditionalFormatting sqref="D404">
    <cfRule type="duplicateValues" dxfId="1148" priority="48"/>
  </conditionalFormatting>
  <conditionalFormatting sqref="D405">
    <cfRule type="duplicateValues" dxfId="1147" priority="47"/>
  </conditionalFormatting>
  <conditionalFormatting sqref="D421:D426">
    <cfRule type="duplicateValues" dxfId="1146" priority="46"/>
  </conditionalFormatting>
  <conditionalFormatting sqref="D422">
    <cfRule type="duplicateValues" dxfId="1145" priority="44"/>
  </conditionalFormatting>
  <conditionalFormatting sqref="D422:D426">
    <cfRule type="duplicateValues" dxfId="1144" priority="45"/>
  </conditionalFormatting>
  <conditionalFormatting sqref="D423:D426">
    <cfRule type="duplicateValues" dxfId="1143" priority="43"/>
  </conditionalFormatting>
  <conditionalFormatting sqref="D424">
    <cfRule type="duplicateValues" dxfId="1142" priority="41"/>
  </conditionalFormatting>
  <conditionalFormatting sqref="D424:D426">
    <cfRule type="duplicateValues" dxfId="1141" priority="42"/>
  </conditionalFormatting>
  <conditionalFormatting sqref="D425:D426">
    <cfRule type="duplicateValues" dxfId="1140" priority="39"/>
  </conditionalFormatting>
  <conditionalFormatting sqref="D428:D451">
    <cfRule type="duplicateValues" dxfId="1139" priority="40"/>
  </conditionalFormatting>
  <conditionalFormatting sqref="D430">
    <cfRule type="duplicateValues" dxfId="1138" priority="37"/>
  </conditionalFormatting>
  <conditionalFormatting sqref="D430:D451">
    <cfRule type="duplicateValues" dxfId="1137" priority="38"/>
  </conditionalFormatting>
  <conditionalFormatting sqref="D431">
    <cfRule type="duplicateValues" dxfId="1136" priority="36"/>
  </conditionalFormatting>
  <conditionalFormatting sqref="D433:D451">
    <cfRule type="duplicateValues" dxfId="1135" priority="35"/>
  </conditionalFormatting>
  <conditionalFormatting sqref="D434">
    <cfRule type="duplicateValues" dxfId="1134" priority="33"/>
  </conditionalFormatting>
  <conditionalFormatting sqref="D434:D451">
    <cfRule type="duplicateValues" dxfId="1133" priority="34"/>
  </conditionalFormatting>
  <conditionalFormatting sqref="D435">
    <cfRule type="duplicateValues" dxfId="1132" priority="23"/>
  </conditionalFormatting>
  <conditionalFormatting sqref="D435:D451">
    <cfRule type="duplicateValues" dxfId="1131" priority="32"/>
  </conditionalFormatting>
  <conditionalFormatting sqref="D436:D451">
    <cfRule type="duplicateValues" dxfId="1130" priority="31"/>
  </conditionalFormatting>
  <conditionalFormatting sqref="D437:D451">
    <cfRule type="duplicateValues" dxfId="1129" priority="30"/>
  </conditionalFormatting>
  <conditionalFormatting sqref="D440">
    <cfRule type="duplicateValues" dxfId="1128" priority="28"/>
  </conditionalFormatting>
  <conditionalFormatting sqref="D440:D451">
    <cfRule type="duplicateValues" dxfId="1127" priority="29"/>
  </conditionalFormatting>
  <conditionalFormatting sqref="D441">
    <cfRule type="duplicateValues" dxfId="1126" priority="20"/>
  </conditionalFormatting>
  <conditionalFormatting sqref="D441:D451">
    <cfRule type="duplicateValues" dxfId="1125" priority="27"/>
  </conditionalFormatting>
  <conditionalFormatting sqref="D442:D451">
    <cfRule type="duplicateValues" dxfId="1124" priority="26"/>
  </conditionalFormatting>
  <conditionalFormatting sqref="D444:D451">
    <cfRule type="duplicateValues" dxfId="1123" priority="25"/>
  </conditionalFormatting>
  <conditionalFormatting sqref="D450:D451">
    <cfRule type="duplicateValues" dxfId="1122" priority="24"/>
  </conditionalFormatting>
  <conditionalFormatting sqref="D451">
    <cfRule type="duplicateValues" dxfId="1121" priority="22"/>
  </conditionalFormatting>
  <conditionalFormatting sqref="D457:D459">
    <cfRule type="duplicateValues" dxfId="1120" priority="19"/>
  </conditionalFormatting>
  <conditionalFormatting sqref="D458">
    <cfRule type="duplicateValues" dxfId="1119" priority="18"/>
  </conditionalFormatting>
  <conditionalFormatting sqref="D459">
    <cfRule type="duplicateValues" dxfId="1118" priority="17"/>
  </conditionalFormatting>
  <conditionalFormatting sqref="D464">
    <cfRule type="duplicateValues" dxfId="1117" priority="16"/>
  </conditionalFormatting>
  <conditionalFormatting sqref="D467:D469">
    <cfRule type="duplicateValues" dxfId="1116" priority="14"/>
    <cfRule type="duplicateValues" dxfId="1115" priority="15"/>
  </conditionalFormatting>
  <conditionalFormatting sqref="D471">
    <cfRule type="duplicateValues" dxfId="1114" priority="12"/>
    <cfRule type="duplicateValues" dxfId="1113" priority="11"/>
    <cfRule type="duplicateValues" dxfId="1112" priority="13"/>
    <cfRule type="duplicateValues" dxfId="1111" priority="10"/>
  </conditionalFormatting>
  <pageMargins left="0.7" right="0.7" top="0.75" bottom="0.75" header="0.3" footer="0.3"/>
  <pageSetup paperSize="2833" orientation="portrait" horizontalDpi="180" verticalDpi="18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65DC-5260-404A-9208-D116A3CE2E8A}">
  <sheetPr>
    <outlinePr summaryBelow="0" summaryRight="0"/>
  </sheetPr>
  <dimension ref="A1:C1035"/>
  <sheetViews>
    <sheetView workbookViewId="0">
      <pane xSplit="2" topLeftCell="C1" activePane="topRight" state="frozen"/>
      <selection pane="topRight" activeCell="E21" sqref="E21"/>
    </sheetView>
  </sheetViews>
  <sheetFormatPr defaultColWidth="12.6328125" defaultRowHeight="15.75" customHeight="1"/>
  <cols>
    <col min="1" max="1" width="12.6328125" style="279"/>
    <col min="2" max="2" width="37.26953125" style="279" customWidth="1"/>
    <col min="3" max="3" width="7" style="279" customWidth="1"/>
    <col min="4" max="16384" width="12.6328125" style="279"/>
  </cols>
  <sheetData>
    <row r="1" spans="1:3" ht="14.5">
      <c r="A1" s="276"/>
      <c r="B1" s="277"/>
      <c r="C1" s="278"/>
    </row>
    <row r="2" spans="1:3" ht="14.5">
      <c r="A2" s="276" t="s">
        <v>1128</v>
      </c>
      <c r="B2" s="280" t="s">
        <v>1129</v>
      </c>
      <c r="C2" s="278"/>
    </row>
    <row r="3" spans="1:3" ht="13">
      <c r="A3" s="299" t="s">
        <v>986</v>
      </c>
      <c r="B3" s="299" t="s">
        <v>1130</v>
      </c>
      <c r="C3" s="299" t="s">
        <v>1131</v>
      </c>
    </row>
    <row r="4" spans="1:3" ht="13">
      <c r="A4" s="300"/>
      <c r="B4" s="300"/>
      <c r="C4" s="300"/>
    </row>
    <row r="5" spans="1:3" ht="13.5">
      <c r="A5" s="281">
        <v>1</v>
      </c>
      <c r="B5" s="282" t="s">
        <v>1132</v>
      </c>
      <c r="C5" s="284">
        <v>57</v>
      </c>
    </row>
    <row r="6" spans="1:3" ht="13.5">
      <c r="A6" s="281">
        <v>2</v>
      </c>
      <c r="B6" s="282" t="s">
        <v>926</v>
      </c>
      <c r="C6" s="284">
        <v>0</v>
      </c>
    </row>
    <row r="7" spans="1:3" ht="13.5">
      <c r="A7" s="281">
        <v>3</v>
      </c>
      <c r="B7" s="282" t="s">
        <v>175</v>
      </c>
      <c r="C7" s="284">
        <v>31</v>
      </c>
    </row>
    <row r="8" spans="1:3" ht="13.5">
      <c r="A8" s="281">
        <v>4</v>
      </c>
      <c r="B8" s="282" t="s">
        <v>1133</v>
      </c>
      <c r="C8" s="284">
        <v>0</v>
      </c>
    </row>
    <row r="9" spans="1:3" ht="13.5">
      <c r="A9" s="281">
        <v>4</v>
      </c>
      <c r="B9" s="282" t="s">
        <v>1134</v>
      </c>
      <c r="C9" s="284">
        <v>0</v>
      </c>
    </row>
    <row r="10" spans="1:3" ht="13.5">
      <c r="A10" s="281">
        <v>5</v>
      </c>
      <c r="B10" s="282" t="s">
        <v>1135</v>
      </c>
      <c r="C10" s="284">
        <v>0</v>
      </c>
    </row>
    <row r="11" spans="1:3" ht="13.5">
      <c r="A11" s="281">
        <v>6</v>
      </c>
      <c r="B11" s="282" t="s">
        <v>1136</v>
      </c>
      <c r="C11" s="284">
        <v>0</v>
      </c>
    </row>
    <row r="12" spans="1:3" ht="13.5">
      <c r="A12" s="281">
        <v>7</v>
      </c>
      <c r="B12" s="282" t="s">
        <v>1137</v>
      </c>
      <c r="C12" s="284">
        <v>0</v>
      </c>
    </row>
    <row r="13" spans="1:3" ht="13.5">
      <c r="A13" s="281">
        <v>8</v>
      </c>
      <c r="B13" s="282" t="s">
        <v>918</v>
      </c>
      <c r="C13" s="284">
        <v>0</v>
      </c>
    </row>
    <row r="14" spans="1:3" ht="13.5">
      <c r="A14" s="281">
        <v>9</v>
      </c>
      <c r="B14" s="282" t="s">
        <v>1138</v>
      </c>
      <c r="C14" s="284">
        <v>0</v>
      </c>
    </row>
    <row r="15" spans="1:3" ht="15" customHeight="1">
      <c r="A15" s="281">
        <v>10</v>
      </c>
      <c r="B15" s="282" t="s">
        <v>1139</v>
      </c>
      <c r="C15" s="284">
        <v>0</v>
      </c>
    </row>
    <row r="16" spans="1:3" ht="13.5">
      <c r="A16" s="281">
        <v>11</v>
      </c>
      <c r="B16" s="282" t="s">
        <v>1140</v>
      </c>
      <c r="C16" s="284">
        <v>2</v>
      </c>
    </row>
    <row r="17" spans="1:3" ht="13.5">
      <c r="A17" s="281">
        <v>12</v>
      </c>
      <c r="B17" s="282" t="s">
        <v>71</v>
      </c>
      <c r="C17" s="284">
        <v>47</v>
      </c>
    </row>
    <row r="18" spans="1:3" ht="13.5">
      <c r="A18" s="281">
        <v>13</v>
      </c>
      <c r="B18" s="282" t="s">
        <v>1141</v>
      </c>
      <c r="C18" s="284">
        <v>5</v>
      </c>
    </row>
    <row r="19" spans="1:3" ht="13.5">
      <c r="A19" s="281">
        <v>13</v>
      </c>
      <c r="B19" s="282" t="s">
        <v>1142</v>
      </c>
      <c r="C19" s="284">
        <v>10</v>
      </c>
    </row>
    <row r="20" spans="1:3" ht="13.5">
      <c r="A20" s="281">
        <v>14</v>
      </c>
      <c r="B20" s="282" t="s">
        <v>437</v>
      </c>
      <c r="C20" s="284">
        <v>0</v>
      </c>
    </row>
    <row r="21" spans="1:3" ht="13.5">
      <c r="A21" s="281">
        <v>15</v>
      </c>
      <c r="B21" s="282" t="s">
        <v>999</v>
      </c>
      <c r="C21" s="284">
        <v>0</v>
      </c>
    </row>
    <row r="22" spans="1:3" ht="13.5">
      <c r="A22" s="281">
        <v>16</v>
      </c>
      <c r="B22" s="282" t="s">
        <v>192</v>
      </c>
      <c r="C22" s="284">
        <v>3</v>
      </c>
    </row>
    <row r="23" spans="1:3" ht="13.5">
      <c r="A23" s="281">
        <v>17</v>
      </c>
      <c r="B23" s="282" t="s">
        <v>336</v>
      </c>
      <c r="C23" s="284">
        <v>0</v>
      </c>
    </row>
    <row r="24" spans="1:3" ht="13.5">
      <c r="A24" s="281">
        <v>18</v>
      </c>
      <c r="B24" s="282" t="s">
        <v>193</v>
      </c>
      <c r="C24" s="284">
        <v>0</v>
      </c>
    </row>
    <row r="25" spans="1:3" ht="13.5">
      <c r="A25" s="281">
        <v>19</v>
      </c>
      <c r="B25" s="282" t="s">
        <v>1143</v>
      </c>
      <c r="C25" s="284">
        <v>0</v>
      </c>
    </row>
    <row r="26" spans="1:3" ht="13.5">
      <c r="A26" s="281">
        <v>20</v>
      </c>
      <c r="B26" s="282" t="s">
        <v>259</v>
      </c>
      <c r="C26" s="284">
        <v>3</v>
      </c>
    </row>
    <row r="27" spans="1:3" ht="13.5">
      <c r="A27" s="281">
        <v>21</v>
      </c>
      <c r="B27" s="282" t="s">
        <v>496</v>
      </c>
      <c r="C27" s="284">
        <v>1</v>
      </c>
    </row>
    <row r="28" spans="1:3" ht="13.5">
      <c r="A28" s="281">
        <v>22</v>
      </c>
      <c r="B28" s="282" t="s">
        <v>257</v>
      </c>
      <c r="C28" s="284">
        <v>3</v>
      </c>
    </row>
    <row r="29" spans="1:3" ht="13.5">
      <c r="A29" s="281">
        <v>23</v>
      </c>
      <c r="B29" s="282" t="s">
        <v>43</v>
      </c>
      <c r="C29" s="284">
        <v>2</v>
      </c>
    </row>
    <row r="30" spans="1:3" ht="13.5">
      <c r="A30" s="281">
        <v>24</v>
      </c>
      <c r="B30" s="282" t="s">
        <v>44</v>
      </c>
      <c r="C30" s="284">
        <v>2</v>
      </c>
    </row>
    <row r="31" spans="1:3" ht="13.5">
      <c r="A31" s="281">
        <v>25</v>
      </c>
      <c r="B31" s="282" t="s">
        <v>337</v>
      </c>
      <c r="C31" s="284">
        <v>0</v>
      </c>
    </row>
    <row r="32" spans="1:3" ht="13.5">
      <c r="A32" s="281">
        <v>26</v>
      </c>
      <c r="B32" s="282" t="s">
        <v>939</v>
      </c>
      <c r="C32" s="284">
        <v>0</v>
      </c>
    </row>
    <row r="33" spans="1:3" ht="13.5">
      <c r="A33" s="281">
        <v>27</v>
      </c>
      <c r="B33" s="282" t="s">
        <v>930</v>
      </c>
      <c r="C33" s="284">
        <v>1</v>
      </c>
    </row>
    <row r="34" spans="1:3" ht="13.5">
      <c r="A34" s="281">
        <v>28</v>
      </c>
      <c r="B34" s="282" t="s">
        <v>931</v>
      </c>
      <c r="C34" s="284">
        <v>0</v>
      </c>
    </row>
    <row r="35" spans="1:3" ht="13.5">
      <c r="A35" s="281">
        <v>29</v>
      </c>
      <c r="B35" s="282" t="s">
        <v>1144</v>
      </c>
      <c r="C35" s="284">
        <v>0</v>
      </c>
    </row>
    <row r="36" spans="1:3" ht="13.5">
      <c r="A36" s="281">
        <v>30</v>
      </c>
      <c r="B36" s="282" t="s">
        <v>665</v>
      </c>
      <c r="C36" s="284">
        <v>5</v>
      </c>
    </row>
    <row r="37" spans="1:3" ht="13.5">
      <c r="A37" s="281">
        <v>31</v>
      </c>
      <c r="B37" s="282" t="s">
        <v>666</v>
      </c>
      <c r="C37" s="284">
        <v>1</v>
      </c>
    </row>
    <row r="38" spans="1:3" ht="13.5">
      <c r="A38" s="281">
        <v>32</v>
      </c>
      <c r="B38" s="282" t="s">
        <v>667</v>
      </c>
      <c r="C38" s="284">
        <v>4</v>
      </c>
    </row>
    <row r="39" spans="1:3" ht="13.5">
      <c r="A39" s="281">
        <v>33</v>
      </c>
      <c r="B39" s="282" t="s">
        <v>668</v>
      </c>
      <c r="C39" s="284">
        <v>1</v>
      </c>
    </row>
    <row r="40" spans="1:3" ht="13.5">
      <c r="A40" s="281">
        <v>34</v>
      </c>
      <c r="B40" s="282" t="s">
        <v>669</v>
      </c>
      <c r="C40" s="284">
        <v>4</v>
      </c>
    </row>
    <row r="41" spans="1:3" ht="13.5">
      <c r="A41" s="281">
        <v>35</v>
      </c>
      <c r="B41" s="282" t="s">
        <v>670</v>
      </c>
      <c r="C41" s="284">
        <v>4</v>
      </c>
    </row>
    <row r="42" spans="1:3" ht="13.5">
      <c r="A42" s="281">
        <v>36</v>
      </c>
      <c r="B42" s="282" t="s">
        <v>671</v>
      </c>
      <c r="C42" s="284">
        <v>4</v>
      </c>
    </row>
    <row r="43" spans="1:3" ht="13.5">
      <c r="A43" s="281">
        <v>37</v>
      </c>
      <c r="B43" s="282" t="s">
        <v>672</v>
      </c>
      <c r="C43" s="284">
        <v>3</v>
      </c>
    </row>
    <row r="44" spans="1:3" ht="13.5">
      <c r="A44" s="281">
        <v>38</v>
      </c>
      <c r="B44" s="282" t="s">
        <v>673</v>
      </c>
      <c r="C44" s="284">
        <v>3</v>
      </c>
    </row>
    <row r="45" spans="1:3" ht="13.5">
      <c r="A45" s="281">
        <v>39</v>
      </c>
      <c r="B45" s="282" t="s">
        <v>674</v>
      </c>
      <c r="C45" s="284">
        <v>1</v>
      </c>
    </row>
    <row r="46" spans="1:3" ht="13.5">
      <c r="A46" s="281">
        <v>40</v>
      </c>
      <c r="B46" s="282" t="s">
        <v>675</v>
      </c>
      <c r="C46" s="284">
        <v>4</v>
      </c>
    </row>
    <row r="47" spans="1:3" ht="13.5">
      <c r="A47" s="281">
        <v>41</v>
      </c>
      <c r="B47" s="282" t="s">
        <v>676</v>
      </c>
      <c r="C47" s="284">
        <v>1</v>
      </c>
    </row>
    <row r="48" spans="1:3" ht="13.5">
      <c r="A48" s="281">
        <v>42</v>
      </c>
      <c r="B48" s="282" t="s">
        <v>260</v>
      </c>
      <c r="C48" s="284">
        <v>0</v>
      </c>
    </row>
    <row r="49" spans="1:3" ht="13.5">
      <c r="A49" s="281">
        <v>43</v>
      </c>
      <c r="B49" s="282" t="s">
        <v>261</v>
      </c>
      <c r="C49" s="284">
        <v>1</v>
      </c>
    </row>
    <row r="50" spans="1:3" ht="13.5">
      <c r="A50" s="281">
        <v>44</v>
      </c>
      <c r="B50" s="282" t="s">
        <v>51</v>
      </c>
      <c r="C50" s="284">
        <v>16</v>
      </c>
    </row>
    <row r="51" spans="1:3" ht="13.5">
      <c r="A51" s="281">
        <v>45</v>
      </c>
      <c r="B51" s="282" t="s">
        <v>47</v>
      </c>
      <c r="C51" s="284">
        <v>18</v>
      </c>
    </row>
    <row r="52" spans="1:3" ht="13.5">
      <c r="A52" s="281">
        <v>46</v>
      </c>
      <c r="B52" s="282" t="s">
        <v>49</v>
      </c>
      <c r="C52" s="284">
        <v>17</v>
      </c>
    </row>
    <row r="53" spans="1:3" ht="13.5">
      <c r="A53" s="281">
        <v>47</v>
      </c>
      <c r="B53" s="282" t="s">
        <v>1145</v>
      </c>
      <c r="C53" s="284">
        <v>16</v>
      </c>
    </row>
    <row r="54" spans="1:3" ht="13.5">
      <c r="A54" s="281">
        <v>48</v>
      </c>
      <c r="B54" s="282" t="s">
        <v>1146</v>
      </c>
      <c r="C54" s="284">
        <v>3</v>
      </c>
    </row>
    <row r="55" spans="1:3" ht="13.5">
      <c r="A55" s="281">
        <v>49</v>
      </c>
      <c r="B55" s="282" t="s">
        <v>1147</v>
      </c>
      <c r="C55" s="284">
        <v>13</v>
      </c>
    </row>
    <row r="56" spans="1:3" ht="13.5">
      <c r="A56" s="281">
        <v>50</v>
      </c>
      <c r="B56" s="282" t="s">
        <v>1148</v>
      </c>
      <c r="C56" s="284">
        <v>7</v>
      </c>
    </row>
    <row r="57" spans="1:3" ht="13.5">
      <c r="A57" s="281">
        <v>51</v>
      </c>
      <c r="B57" s="282" t="s">
        <v>1149</v>
      </c>
      <c r="C57" s="284">
        <v>33</v>
      </c>
    </row>
    <row r="58" spans="1:3" ht="13.5">
      <c r="A58" s="281">
        <v>52</v>
      </c>
      <c r="B58" s="282" t="s">
        <v>1150</v>
      </c>
      <c r="C58" s="284">
        <v>37</v>
      </c>
    </row>
    <row r="59" spans="1:3" ht="13.5">
      <c r="A59" s="281">
        <v>53</v>
      </c>
      <c r="B59" s="282" t="s">
        <v>1151</v>
      </c>
      <c r="C59" s="284">
        <v>16</v>
      </c>
    </row>
    <row r="60" spans="1:3" ht="13.5">
      <c r="A60" s="281">
        <v>54</v>
      </c>
      <c r="B60" s="282" t="s">
        <v>1152</v>
      </c>
      <c r="C60" s="284">
        <v>18</v>
      </c>
    </row>
    <row r="61" spans="1:3" ht="13.5">
      <c r="A61" s="281">
        <v>55</v>
      </c>
      <c r="B61" s="282" t="s">
        <v>1153</v>
      </c>
      <c r="C61" s="284">
        <v>36</v>
      </c>
    </row>
    <row r="62" spans="1:3" ht="13.5">
      <c r="A62" s="281">
        <v>56</v>
      </c>
      <c r="B62" s="282" t="s">
        <v>1154</v>
      </c>
      <c r="C62" s="284">
        <v>206</v>
      </c>
    </row>
    <row r="63" spans="1:3" ht="13.5">
      <c r="A63" s="281">
        <v>57</v>
      </c>
      <c r="B63" s="282" t="s">
        <v>1155</v>
      </c>
      <c r="C63" s="284">
        <v>41</v>
      </c>
    </row>
    <row r="64" spans="1:3" ht="13.5">
      <c r="A64" s="281">
        <v>58</v>
      </c>
      <c r="B64" s="282" t="s">
        <v>1156</v>
      </c>
      <c r="C64" s="284">
        <v>21</v>
      </c>
    </row>
    <row r="65" spans="1:3" ht="13.5">
      <c r="A65" s="281">
        <v>59</v>
      </c>
      <c r="B65" s="282" t="s">
        <v>938</v>
      </c>
      <c r="C65" s="284">
        <v>104</v>
      </c>
    </row>
    <row r="66" spans="1:3" ht="13.5">
      <c r="A66" s="281">
        <v>60</v>
      </c>
      <c r="B66" s="282" t="s">
        <v>1157</v>
      </c>
      <c r="C66" s="284">
        <v>93</v>
      </c>
    </row>
    <row r="67" spans="1:3" ht="13.5">
      <c r="A67" s="281">
        <v>61</v>
      </c>
      <c r="B67" s="282" t="s">
        <v>1158</v>
      </c>
      <c r="C67" s="284">
        <v>0</v>
      </c>
    </row>
    <row r="68" spans="1:3" ht="13.5">
      <c r="A68" s="281">
        <v>62</v>
      </c>
      <c r="B68" s="282" t="s">
        <v>1159</v>
      </c>
      <c r="C68" s="284"/>
    </row>
    <row r="69" spans="1:3" ht="13.5">
      <c r="A69" s="281">
        <v>63</v>
      </c>
      <c r="B69" s="282" t="s">
        <v>1160</v>
      </c>
      <c r="C69" s="284">
        <v>29</v>
      </c>
    </row>
    <row r="70" spans="1:3" ht="13.5">
      <c r="A70" s="281">
        <v>64</v>
      </c>
      <c r="B70" s="282" t="s">
        <v>1161</v>
      </c>
      <c r="C70" s="284">
        <v>22</v>
      </c>
    </row>
    <row r="71" spans="1:3" ht="13.5">
      <c r="A71" s="281">
        <v>65</v>
      </c>
      <c r="B71" s="282" t="s">
        <v>1162</v>
      </c>
      <c r="C71" s="284">
        <v>27</v>
      </c>
    </row>
    <row r="72" spans="1:3" ht="13.5">
      <c r="A72" s="281">
        <v>66</v>
      </c>
      <c r="B72" s="282" t="s">
        <v>1163</v>
      </c>
      <c r="C72" s="284">
        <v>0</v>
      </c>
    </row>
    <row r="73" spans="1:3" ht="13.5">
      <c r="A73" s="281">
        <v>67</v>
      </c>
      <c r="B73" s="282" t="s">
        <v>1164</v>
      </c>
      <c r="C73" s="284">
        <v>23</v>
      </c>
    </row>
    <row r="74" spans="1:3" ht="13.5">
      <c r="A74" s="281">
        <v>68</v>
      </c>
      <c r="B74" s="282" t="s">
        <v>1165</v>
      </c>
      <c r="C74" s="284">
        <v>22</v>
      </c>
    </row>
    <row r="75" spans="1:3" ht="13.5">
      <c r="A75" s="281">
        <v>69</v>
      </c>
      <c r="B75" s="282" t="s">
        <v>1166</v>
      </c>
      <c r="C75" s="284">
        <v>16</v>
      </c>
    </row>
    <row r="76" spans="1:3" ht="13.5">
      <c r="A76" s="281">
        <v>70</v>
      </c>
      <c r="B76" s="282" t="s">
        <v>1167</v>
      </c>
      <c r="C76" s="284">
        <v>13</v>
      </c>
    </row>
    <row r="77" spans="1:3" ht="13.5">
      <c r="A77" s="281">
        <v>71</v>
      </c>
      <c r="B77" s="282" t="s">
        <v>1168</v>
      </c>
      <c r="C77" s="284">
        <v>16</v>
      </c>
    </row>
    <row r="78" spans="1:3" ht="13.5">
      <c r="A78" s="281">
        <v>72</v>
      </c>
      <c r="B78" s="282" t="s">
        <v>967</v>
      </c>
      <c r="C78" s="284">
        <v>0</v>
      </c>
    </row>
    <row r="79" spans="1:3" ht="13.5">
      <c r="A79" s="281">
        <v>73</v>
      </c>
      <c r="B79" s="282" t="s">
        <v>968</v>
      </c>
      <c r="C79" s="284">
        <v>0</v>
      </c>
    </row>
    <row r="80" spans="1:3" ht="13.5">
      <c r="A80" s="281">
        <v>74</v>
      </c>
      <c r="B80" s="282" t="s">
        <v>969</v>
      </c>
      <c r="C80" s="284">
        <v>0</v>
      </c>
    </row>
    <row r="81" spans="1:3" ht="13.5">
      <c r="A81" s="281">
        <v>75</v>
      </c>
      <c r="B81" s="282" t="s">
        <v>970</v>
      </c>
      <c r="C81" s="284">
        <v>0</v>
      </c>
    </row>
    <row r="82" spans="1:3" ht="13.5">
      <c r="A82" s="281">
        <v>76</v>
      </c>
      <c r="B82" s="282" t="s">
        <v>971</v>
      </c>
      <c r="C82" s="284">
        <v>0</v>
      </c>
    </row>
    <row r="83" spans="1:3" ht="13.5">
      <c r="A83" s="281">
        <v>77</v>
      </c>
      <c r="B83" s="282" t="s">
        <v>972</v>
      </c>
      <c r="C83" s="284">
        <v>0</v>
      </c>
    </row>
    <row r="84" spans="1:3" ht="13.5">
      <c r="A84" s="281">
        <v>78</v>
      </c>
      <c r="B84" s="282" t="s">
        <v>973</v>
      </c>
      <c r="C84" s="284">
        <v>0</v>
      </c>
    </row>
    <row r="85" spans="1:3" ht="13.5">
      <c r="A85" s="281">
        <v>79</v>
      </c>
      <c r="B85" s="282" t="s">
        <v>1169</v>
      </c>
      <c r="C85" s="284">
        <v>0</v>
      </c>
    </row>
    <row r="86" spans="1:3" ht="13.5">
      <c r="A86" s="281">
        <v>80</v>
      </c>
      <c r="B86" s="282" t="s">
        <v>1170</v>
      </c>
      <c r="C86" s="284">
        <v>0</v>
      </c>
    </row>
    <row r="87" spans="1:3" ht="13.5">
      <c r="A87" s="281">
        <v>81</v>
      </c>
      <c r="B87" s="282" t="s">
        <v>1171</v>
      </c>
      <c r="C87" s="284">
        <v>0</v>
      </c>
    </row>
    <row r="88" spans="1:3" ht="13.5">
      <c r="A88" s="281">
        <v>82</v>
      </c>
      <c r="B88" s="282" t="s">
        <v>977</v>
      </c>
      <c r="C88" s="284">
        <v>0</v>
      </c>
    </row>
    <row r="89" spans="1:3" ht="13.5">
      <c r="A89" s="281">
        <v>83</v>
      </c>
      <c r="B89" s="282" t="s">
        <v>978</v>
      </c>
      <c r="C89" s="284">
        <v>0</v>
      </c>
    </row>
    <row r="90" spans="1:3" ht="13.5">
      <c r="A90" s="281">
        <v>84</v>
      </c>
      <c r="B90" s="282" t="s">
        <v>979</v>
      </c>
      <c r="C90" s="284">
        <v>0</v>
      </c>
    </row>
    <row r="91" spans="1:3" ht="13.5">
      <c r="A91" s="281">
        <v>85</v>
      </c>
      <c r="B91" s="282" t="s">
        <v>980</v>
      </c>
      <c r="C91" s="284">
        <v>0</v>
      </c>
    </row>
    <row r="92" spans="1:3" ht="13.5">
      <c r="A92" s="281">
        <v>86</v>
      </c>
      <c r="B92" s="282" t="s">
        <v>1172</v>
      </c>
      <c r="C92" s="284">
        <v>0</v>
      </c>
    </row>
    <row r="93" spans="1:3" ht="13.5">
      <c r="A93" s="281">
        <v>87</v>
      </c>
      <c r="B93" s="282" t="s">
        <v>1173</v>
      </c>
      <c r="C93" s="284">
        <v>0</v>
      </c>
    </row>
    <row r="94" spans="1:3" ht="13.5">
      <c r="A94" s="285">
        <v>88</v>
      </c>
      <c r="B94" s="282" t="s">
        <v>1174</v>
      </c>
      <c r="C94" s="284">
        <v>80</v>
      </c>
    </row>
    <row r="95" spans="1:3" ht="16.5" customHeight="1">
      <c r="A95" s="285">
        <v>89</v>
      </c>
      <c r="B95" s="282" t="s">
        <v>1175</v>
      </c>
      <c r="C95" s="284">
        <v>11</v>
      </c>
    </row>
    <row r="96" spans="1:3" ht="13.5">
      <c r="A96" s="283">
        <v>90</v>
      </c>
      <c r="B96" s="286" t="s">
        <v>1176</v>
      </c>
      <c r="C96" s="284">
        <v>1</v>
      </c>
    </row>
    <row r="97" spans="1:3" ht="13.5">
      <c r="A97" s="301"/>
      <c r="B97" s="302"/>
      <c r="C97" s="287">
        <f t="shared" ref="C97" si="0">SUM(C5:C69)</f>
        <v>927</v>
      </c>
    </row>
    <row r="98" spans="1:3" ht="14.5">
      <c r="A98" s="278"/>
      <c r="B98" s="277"/>
      <c r="C98" s="288"/>
    </row>
    <row r="99" spans="1:3" ht="14.5">
      <c r="A99" s="278"/>
      <c r="B99" s="277"/>
      <c r="C99" s="288"/>
    </row>
    <row r="100" spans="1:3" ht="14.5">
      <c r="A100" s="278"/>
      <c r="B100" s="277"/>
      <c r="C100" s="288"/>
    </row>
    <row r="101" spans="1:3" ht="14.5">
      <c r="A101" s="278"/>
      <c r="B101" s="277"/>
      <c r="C101" s="288"/>
    </row>
    <row r="102" spans="1:3" ht="14.5">
      <c r="A102" s="278"/>
      <c r="B102" s="277"/>
      <c r="C102" s="288"/>
    </row>
    <row r="103" spans="1:3" ht="14.5">
      <c r="A103" s="278"/>
      <c r="B103" s="277"/>
      <c r="C103" s="288"/>
    </row>
    <row r="104" spans="1:3" ht="14.5">
      <c r="A104" s="278"/>
      <c r="B104" s="277"/>
      <c r="C104" s="288"/>
    </row>
    <row r="105" spans="1:3" ht="14.5">
      <c r="A105" s="278"/>
      <c r="B105" s="277"/>
      <c r="C105" s="288"/>
    </row>
    <row r="106" spans="1:3" ht="14.5">
      <c r="A106" s="278"/>
      <c r="B106" s="277"/>
      <c r="C106" s="288"/>
    </row>
    <row r="107" spans="1:3" ht="14.5">
      <c r="A107" s="278"/>
      <c r="B107" s="277"/>
      <c r="C107" s="288"/>
    </row>
    <row r="108" spans="1:3" ht="14.5">
      <c r="A108" s="278"/>
      <c r="B108" s="277"/>
      <c r="C108" s="288"/>
    </row>
    <row r="109" spans="1:3" ht="14.5">
      <c r="A109" s="278"/>
      <c r="B109" s="277"/>
      <c r="C109" s="288"/>
    </row>
    <row r="110" spans="1:3" ht="14.5">
      <c r="A110" s="278"/>
      <c r="B110" s="277"/>
      <c r="C110" s="288"/>
    </row>
    <row r="111" spans="1:3" ht="14.5">
      <c r="A111" s="278"/>
      <c r="B111" s="277"/>
      <c r="C111" s="288"/>
    </row>
    <row r="112" spans="1:3" ht="14.5">
      <c r="A112" s="278"/>
      <c r="B112" s="277"/>
      <c r="C112" s="288"/>
    </row>
    <row r="113" spans="1:3" ht="14.5">
      <c r="A113" s="278"/>
      <c r="B113" s="277"/>
      <c r="C113" s="278"/>
    </row>
    <row r="114" spans="1:3" ht="14.5">
      <c r="A114" s="278"/>
      <c r="B114" s="277"/>
      <c r="C114" s="278"/>
    </row>
    <row r="115" spans="1:3" ht="14.5">
      <c r="A115" s="278"/>
      <c r="B115" s="277"/>
      <c r="C115" s="278"/>
    </row>
    <row r="116" spans="1:3" ht="14.5">
      <c r="A116" s="278"/>
      <c r="B116" s="277"/>
      <c r="C116" s="278"/>
    </row>
    <row r="117" spans="1:3" ht="14.5">
      <c r="A117" s="278"/>
      <c r="B117" s="277"/>
      <c r="C117" s="278"/>
    </row>
    <row r="118" spans="1:3" ht="14.5">
      <c r="A118" s="278"/>
      <c r="B118" s="277"/>
      <c r="C118" s="278"/>
    </row>
    <row r="119" spans="1:3" ht="14.5">
      <c r="A119" s="278"/>
      <c r="B119" s="277"/>
      <c r="C119" s="278"/>
    </row>
    <row r="120" spans="1:3" ht="14.5">
      <c r="A120" s="278"/>
      <c r="B120" s="277"/>
      <c r="C120" s="278"/>
    </row>
    <row r="121" spans="1:3" ht="14.5">
      <c r="A121" s="278"/>
      <c r="B121" s="277"/>
      <c r="C121" s="278"/>
    </row>
    <row r="122" spans="1:3" ht="14.5">
      <c r="A122" s="278"/>
      <c r="B122" s="277"/>
      <c r="C122" s="278"/>
    </row>
    <row r="123" spans="1:3" ht="14.5">
      <c r="A123" s="278"/>
      <c r="B123" s="277"/>
      <c r="C123" s="278"/>
    </row>
    <row r="124" spans="1:3" ht="14.5">
      <c r="A124" s="278"/>
      <c r="B124" s="277"/>
      <c r="C124" s="278"/>
    </row>
    <row r="125" spans="1:3" ht="14.5">
      <c r="A125" s="278"/>
      <c r="B125" s="277"/>
      <c r="C125" s="278"/>
    </row>
    <row r="126" spans="1:3" ht="14.5">
      <c r="A126" s="278"/>
      <c r="B126" s="277"/>
      <c r="C126" s="278"/>
    </row>
    <row r="127" spans="1:3" ht="14.5">
      <c r="A127" s="278"/>
      <c r="B127" s="277"/>
      <c r="C127" s="278"/>
    </row>
    <row r="128" spans="1:3" ht="14.5">
      <c r="A128" s="278"/>
      <c r="B128" s="277"/>
      <c r="C128" s="278"/>
    </row>
    <row r="129" spans="1:3" ht="14.5">
      <c r="A129" s="278"/>
      <c r="B129" s="277"/>
      <c r="C129" s="278"/>
    </row>
    <row r="130" spans="1:3" ht="14.5">
      <c r="A130" s="278"/>
      <c r="B130" s="277"/>
      <c r="C130" s="278"/>
    </row>
    <row r="131" spans="1:3" ht="14.5">
      <c r="A131" s="278"/>
      <c r="B131" s="277"/>
      <c r="C131" s="278"/>
    </row>
    <row r="132" spans="1:3" ht="14.5">
      <c r="A132" s="278"/>
      <c r="B132" s="277"/>
      <c r="C132" s="278"/>
    </row>
    <row r="133" spans="1:3" ht="14.5">
      <c r="A133" s="278"/>
      <c r="B133" s="277"/>
      <c r="C133" s="278"/>
    </row>
    <row r="134" spans="1:3" ht="14.5">
      <c r="A134" s="278"/>
      <c r="B134" s="277"/>
      <c r="C134" s="278"/>
    </row>
    <row r="135" spans="1:3" ht="14.5">
      <c r="A135" s="278"/>
      <c r="B135" s="277"/>
      <c r="C135" s="278"/>
    </row>
    <row r="136" spans="1:3" ht="14.5">
      <c r="A136" s="278"/>
      <c r="B136" s="277"/>
      <c r="C136" s="278"/>
    </row>
    <row r="137" spans="1:3" ht="14.5">
      <c r="A137" s="278"/>
      <c r="B137" s="277"/>
      <c r="C137" s="278"/>
    </row>
    <row r="138" spans="1:3" ht="14.5">
      <c r="A138" s="278"/>
      <c r="B138" s="277"/>
      <c r="C138" s="278"/>
    </row>
    <row r="139" spans="1:3" ht="14.5">
      <c r="A139" s="278"/>
      <c r="B139" s="277"/>
      <c r="C139" s="278"/>
    </row>
    <row r="140" spans="1:3" ht="14.5">
      <c r="A140" s="278"/>
      <c r="B140" s="277"/>
      <c r="C140" s="278"/>
    </row>
    <row r="141" spans="1:3" ht="14.5">
      <c r="A141" s="278"/>
      <c r="B141" s="277"/>
      <c r="C141" s="278"/>
    </row>
    <row r="142" spans="1:3" ht="14.5">
      <c r="A142" s="278"/>
      <c r="B142" s="277"/>
      <c r="C142" s="278"/>
    </row>
    <row r="143" spans="1:3" ht="14.5">
      <c r="A143" s="278"/>
      <c r="B143" s="277"/>
      <c r="C143" s="278"/>
    </row>
    <row r="144" spans="1:3" ht="14.5">
      <c r="A144" s="278"/>
      <c r="B144" s="277"/>
      <c r="C144" s="278"/>
    </row>
    <row r="145" spans="1:3" ht="14.5">
      <c r="A145" s="278"/>
      <c r="B145" s="277"/>
      <c r="C145" s="278"/>
    </row>
    <row r="146" spans="1:3" ht="14.5">
      <c r="A146" s="278"/>
      <c r="B146" s="277"/>
      <c r="C146" s="278"/>
    </row>
    <row r="147" spans="1:3" ht="14.5">
      <c r="A147" s="278"/>
      <c r="B147" s="277"/>
      <c r="C147" s="278"/>
    </row>
    <row r="148" spans="1:3" ht="14.5">
      <c r="A148" s="278"/>
      <c r="B148" s="277"/>
      <c r="C148" s="278"/>
    </row>
    <row r="149" spans="1:3" ht="14.5">
      <c r="A149" s="278"/>
      <c r="B149" s="277"/>
      <c r="C149" s="278"/>
    </row>
    <row r="150" spans="1:3" ht="14.5">
      <c r="A150" s="278"/>
      <c r="B150" s="277"/>
      <c r="C150" s="278"/>
    </row>
    <row r="151" spans="1:3" ht="14.5">
      <c r="A151" s="278"/>
      <c r="B151" s="277"/>
      <c r="C151" s="278"/>
    </row>
    <row r="152" spans="1:3" ht="14.5">
      <c r="A152" s="278"/>
      <c r="B152" s="277"/>
      <c r="C152" s="278"/>
    </row>
    <row r="153" spans="1:3" ht="14.5">
      <c r="A153" s="278"/>
      <c r="B153" s="277"/>
      <c r="C153" s="278"/>
    </row>
    <row r="154" spans="1:3" ht="14.5">
      <c r="A154" s="278"/>
      <c r="B154" s="277"/>
      <c r="C154" s="278"/>
    </row>
    <row r="155" spans="1:3" ht="14.5">
      <c r="A155" s="278"/>
      <c r="B155" s="277"/>
      <c r="C155" s="278"/>
    </row>
    <row r="156" spans="1:3" ht="14.5">
      <c r="A156" s="278"/>
      <c r="B156" s="277"/>
      <c r="C156" s="278"/>
    </row>
    <row r="157" spans="1:3" ht="14.5">
      <c r="A157" s="278"/>
      <c r="B157" s="277"/>
      <c r="C157" s="278"/>
    </row>
    <row r="158" spans="1:3" ht="14.5">
      <c r="A158" s="278"/>
      <c r="B158" s="277"/>
      <c r="C158" s="278"/>
    </row>
    <row r="159" spans="1:3" ht="14.5">
      <c r="A159" s="278"/>
      <c r="B159" s="277"/>
      <c r="C159" s="278"/>
    </row>
    <row r="160" spans="1:3" ht="14.5">
      <c r="A160" s="278"/>
      <c r="B160" s="277"/>
      <c r="C160" s="278"/>
    </row>
    <row r="161" spans="1:3" ht="14.5">
      <c r="A161" s="278"/>
      <c r="B161" s="277"/>
      <c r="C161" s="278"/>
    </row>
    <row r="162" spans="1:3" ht="14.5">
      <c r="A162" s="278"/>
      <c r="B162" s="277"/>
      <c r="C162" s="278"/>
    </row>
    <row r="163" spans="1:3" ht="14.5">
      <c r="A163" s="278"/>
      <c r="B163" s="277"/>
      <c r="C163" s="278"/>
    </row>
    <row r="164" spans="1:3" ht="14.5">
      <c r="A164" s="278"/>
      <c r="B164" s="277"/>
      <c r="C164" s="278"/>
    </row>
    <row r="165" spans="1:3" ht="14.5">
      <c r="A165" s="278"/>
      <c r="B165" s="277"/>
      <c r="C165" s="278"/>
    </row>
    <row r="166" spans="1:3" ht="14.5">
      <c r="A166" s="278"/>
      <c r="B166" s="277"/>
      <c r="C166" s="278"/>
    </row>
    <row r="167" spans="1:3" ht="14.5">
      <c r="A167" s="278"/>
      <c r="B167" s="277"/>
      <c r="C167" s="278"/>
    </row>
    <row r="168" spans="1:3" ht="14.5">
      <c r="A168" s="278"/>
      <c r="B168" s="277"/>
      <c r="C168" s="278"/>
    </row>
    <row r="169" spans="1:3" ht="14.5">
      <c r="A169" s="278"/>
      <c r="B169" s="277"/>
      <c r="C169" s="278"/>
    </row>
    <row r="170" spans="1:3" ht="14.5">
      <c r="A170" s="278"/>
      <c r="B170" s="277"/>
      <c r="C170" s="278"/>
    </row>
    <row r="171" spans="1:3" ht="14.5">
      <c r="A171" s="278"/>
      <c r="B171" s="277"/>
      <c r="C171" s="278"/>
    </row>
    <row r="172" spans="1:3" ht="14.5">
      <c r="A172" s="278"/>
      <c r="B172" s="277"/>
      <c r="C172" s="278"/>
    </row>
    <row r="173" spans="1:3" ht="14.5">
      <c r="A173" s="278"/>
      <c r="B173" s="277"/>
      <c r="C173" s="278"/>
    </row>
    <row r="174" spans="1:3" ht="14.5">
      <c r="A174" s="278"/>
      <c r="B174" s="277"/>
      <c r="C174" s="278"/>
    </row>
    <row r="175" spans="1:3" ht="14.5">
      <c r="A175" s="278"/>
      <c r="B175" s="277"/>
      <c r="C175" s="278"/>
    </row>
    <row r="176" spans="1:3" ht="14.5">
      <c r="A176" s="278"/>
      <c r="B176" s="277"/>
      <c r="C176" s="278"/>
    </row>
    <row r="177" spans="1:3" ht="14.5">
      <c r="A177" s="278"/>
      <c r="B177" s="277"/>
      <c r="C177" s="278"/>
    </row>
    <row r="178" spans="1:3" ht="14.5">
      <c r="A178" s="278"/>
      <c r="B178" s="277"/>
      <c r="C178" s="278"/>
    </row>
    <row r="179" spans="1:3" ht="14.5">
      <c r="A179" s="278"/>
      <c r="B179" s="277"/>
      <c r="C179" s="278"/>
    </row>
    <row r="180" spans="1:3" ht="14.5">
      <c r="A180" s="278"/>
      <c r="B180" s="277"/>
      <c r="C180" s="278"/>
    </row>
    <row r="181" spans="1:3" ht="14.5">
      <c r="A181" s="278"/>
      <c r="B181" s="277"/>
      <c r="C181" s="278"/>
    </row>
    <row r="182" spans="1:3" ht="14.5">
      <c r="A182" s="278"/>
      <c r="B182" s="277"/>
      <c r="C182" s="278"/>
    </row>
    <row r="183" spans="1:3" ht="14.5">
      <c r="A183" s="278"/>
      <c r="B183" s="277"/>
      <c r="C183" s="278"/>
    </row>
    <row r="184" spans="1:3" ht="14.5">
      <c r="A184" s="278"/>
      <c r="B184" s="277"/>
      <c r="C184" s="278"/>
    </row>
    <row r="185" spans="1:3" ht="14.5">
      <c r="A185" s="278"/>
      <c r="B185" s="277"/>
      <c r="C185" s="278"/>
    </row>
    <row r="186" spans="1:3" ht="14.5">
      <c r="A186" s="278"/>
      <c r="B186" s="277"/>
      <c r="C186" s="278"/>
    </row>
    <row r="187" spans="1:3" ht="14.5">
      <c r="A187" s="278"/>
      <c r="B187" s="277"/>
      <c r="C187" s="278"/>
    </row>
    <row r="188" spans="1:3" ht="14.5">
      <c r="A188" s="278"/>
      <c r="B188" s="277"/>
      <c r="C188" s="278"/>
    </row>
    <row r="189" spans="1:3" ht="14.5">
      <c r="A189" s="278"/>
      <c r="B189" s="277"/>
      <c r="C189" s="278"/>
    </row>
    <row r="190" spans="1:3" ht="14.5">
      <c r="A190" s="278"/>
      <c r="B190" s="277"/>
      <c r="C190" s="278"/>
    </row>
    <row r="191" spans="1:3" ht="14.5">
      <c r="A191" s="278"/>
      <c r="B191" s="277"/>
      <c r="C191" s="278"/>
    </row>
    <row r="192" spans="1:3" ht="14.5">
      <c r="A192" s="278"/>
      <c r="B192" s="277"/>
      <c r="C192" s="278"/>
    </row>
    <row r="193" spans="1:3" ht="14.5">
      <c r="A193" s="278"/>
      <c r="B193" s="277"/>
      <c r="C193" s="278"/>
    </row>
    <row r="194" spans="1:3" ht="14.5">
      <c r="A194" s="278"/>
      <c r="B194" s="277"/>
      <c r="C194" s="278"/>
    </row>
    <row r="195" spans="1:3" ht="14.5">
      <c r="A195" s="278"/>
      <c r="B195" s="277"/>
      <c r="C195" s="278"/>
    </row>
    <row r="196" spans="1:3" ht="14.5">
      <c r="A196" s="278"/>
      <c r="B196" s="277"/>
      <c r="C196" s="278"/>
    </row>
    <row r="197" spans="1:3" ht="14.5">
      <c r="A197" s="278"/>
      <c r="B197" s="277"/>
      <c r="C197" s="278"/>
    </row>
    <row r="198" spans="1:3" ht="14.5">
      <c r="A198" s="278"/>
      <c r="B198" s="277"/>
      <c r="C198" s="278"/>
    </row>
    <row r="199" spans="1:3" ht="14.5">
      <c r="A199" s="278"/>
      <c r="B199" s="277"/>
      <c r="C199" s="278"/>
    </row>
    <row r="200" spans="1:3" ht="14.5">
      <c r="A200" s="278"/>
      <c r="B200" s="277"/>
      <c r="C200" s="278"/>
    </row>
    <row r="201" spans="1:3" ht="14.5">
      <c r="A201" s="278"/>
      <c r="B201" s="277"/>
      <c r="C201" s="278"/>
    </row>
    <row r="202" spans="1:3" ht="14.5">
      <c r="A202" s="278"/>
      <c r="B202" s="277"/>
      <c r="C202" s="278"/>
    </row>
    <row r="203" spans="1:3" ht="14.5">
      <c r="A203" s="278"/>
      <c r="B203" s="277"/>
      <c r="C203" s="278"/>
    </row>
    <row r="204" spans="1:3" ht="14.5">
      <c r="A204" s="278"/>
      <c r="B204" s="277"/>
      <c r="C204" s="278"/>
    </row>
    <row r="205" spans="1:3" ht="14.5">
      <c r="A205" s="278"/>
      <c r="B205" s="277"/>
      <c r="C205" s="278"/>
    </row>
    <row r="206" spans="1:3" ht="14.5">
      <c r="A206" s="278"/>
      <c r="B206" s="277"/>
      <c r="C206" s="278"/>
    </row>
    <row r="207" spans="1:3" ht="14.5">
      <c r="A207" s="278"/>
      <c r="B207" s="277"/>
      <c r="C207" s="278"/>
    </row>
    <row r="208" spans="1:3" ht="14.5">
      <c r="A208" s="278"/>
      <c r="B208" s="277"/>
      <c r="C208" s="278"/>
    </row>
    <row r="209" spans="1:3" ht="14.5">
      <c r="A209" s="278"/>
      <c r="B209" s="277"/>
      <c r="C209" s="278"/>
    </row>
    <row r="210" spans="1:3" ht="14.5">
      <c r="A210" s="278"/>
      <c r="B210" s="277"/>
      <c r="C210" s="278"/>
    </row>
    <row r="211" spans="1:3" ht="14.5">
      <c r="A211" s="278"/>
      <c r="B211" s="277"/>
      <c r="C211" s="278"/>
    </row>
    <row r="212" spans="1:3" ht="14.5">
      <c r="A212" s="278"/>
      <c r="B212" s="277"/>
      <c r="C212" s="278"/>
    </row>
    <row r="213" spans="1:3" ht="14.5">
      <c r="A213" s="278"/>
      <c r="B213" s="277"/>
      <c r="C213" s="278"/>
    </row>
    <row r="214" spans="1:3" ht="14.5">
      <c r="A214" s="278"/>
      <c r="B214" s="277"/>
      <c r="C214" s="278"/>
    </row>
    <row r="215" spans="1:3" ht="14.5">
      <c r="A215" s="278"/>
      <c r="B215" s="277"/>
      <c r="C215" s="278"/>
    </row>
    <row r="216" spans="1:3" ht="14.5">
      <c r="A216" s="278"/>
      <c r="B216" s="277"/>
      <c r="C216" s="278"/>
    </row>
    <row r="217" spans="1:3" ht="14.5">
      <c r="A217" s="278"/>
      <c r="B217" s="277"/>
      <c r="C217" s="278"/>
    </row>
    <row r="218" spans="1:3" ht="14.5">
      <c r="A218" s="278"/>
      <c r="B218" s="277"/>
      <c r="C218" s="278"/>
    </row>
    <row r="219" spans="1:3" ht="14.5">
      <c r="A219" s="278"/>
      <c r="B219" s="277"/>
      <c r="C219" s="278"/>
    </row>
    <row r="220" spans="1:3" ht="14.5">
      <c r="A220" s="278"/>
      <c r="B220" s="277"/>
      <c r="C220" s="278"/>
    </row>
    <row r="221" spans="1:3" ht="14.5">
      <c r="A221" s="278"/>
      <c r="B221" s="277"/>
      <c r="C221" s="278"/>
    </row>
    <row r="222" spans="1:3" ht="14.5">
      <c r="A222" s="278"/>
      <c r="B222" s="277"/>
      <c r="C222" s="278"/>
    </row>
    <row r="223" spans="1:3" ht="14.5">
      <c r="A223" s="278"/>
      <c r="B223" s="277"/>
      <c r="C223" s="278"/>
    </row>
    <row r="224" spans="1:3" ht="14.5">
      <c r="A224" s="278"/>
      <c r="B224" s="277"/>
      <c r="C224" s="278"/>
    </row>
    <row r="225" spans="1:3" ht="14.5">
      <c r="A225" s="278"/>
      <c r="B225" s="277"/>
      <c r="C225" s="278"/>
    </row>
    <row r="226" spans="1:3" ht="14.5">
      <c r="A226" s="278"/>
      <c r="B226" s="277"/>
      <c r="C226" s="278"/>
    </row>
    <row r="227" spans="1:3" ht="14.5">
      <c r="A227" s="278"/>
      <c r="B227" s="277"/>
      <c r="C227" s="278"/>
    </row>
    <row r="228" spans="1:3" ht="14.5">
      <c r="A228" s="278"/>
      <c r="B228" s="277"/>
      <c r="C228" s="278"/>
    </row>
    <row r="229" spans="1:3" ht="14.5">
      <c r="A229" s="278"/>
      <c r="B229" s="277"/>
      <c r="C229" s="278"/>
    </row>
    <row r="230" spans="1:3" ht="14.5">
      <c r="A230" s="278"/>
      <c r="B230" s="277"/>
      <c r="C230" s="278"/>
    </row>
    <row r="231" spans="1:3" ht="14.5">
      <c r="A231" s="278"/>
      <c r="B231" s="277"/>
      <c r="C231" s="278"/>
    </row>
    <row r="232" spans="1:3" ht="14.5">
      <c r="A232" s="278"/>
      <c r="B232" s="277"/>
      <c r="C232" s="278"/>
    </row>
    <row r="233" spans="1:3" ht="14.5">
      <c r="A233" s="278"/>
      <c r="B233" s="277"/>
      <c r="C233" s="278"/>
    </row>
    <row r="234" spans="1:3" ht="14.5">
      <c r="A234" s="278"/>
      <c r="B234" s="277"/>
      <c r="C234" s="278"/>
    </row>
    <row r="235" spans="1:3" ht="14.5">
      <c r="A235" s="278"/>
      <c r="B235" s="277"/>
      <c r="C235" s="278"/>
    </row>
    <row r="236" spans="1:3" ht="14.5">
      <c r="A236" s="278"/>
      <c r="B236" s="277"/>
      <c r="C236" s="278"/>
    </row>
    <row r="237" spans="1:3" ht="14.5">
      <c r="A237" s="278"/>
      <c r="B237" s="277"/>
      <c r="C237" s="278"/>
    </row>
    <row r="238" spans="1:3" ht="14.5">
      <c r="A238" s="278"/>
      <c r="B238" s="277"/>
      <c r="C238" s="278"/>
    </row>
    <row r="239" spans="1:3" ht="14.5">
      <c r="A239" s="278"/>
      <c r="B239" s="277"/>
      <c r="C239" s="278"/>
    </row>
    <row r="240" spans="1:3" ht="14.5">
      <c r="A240" s="278"/>
      <c r="B240" s="277"/>
      <c r="C240" s="278"/>
    </row>
    <row r="241" spans="1:3" ht="14.5">
      <c r="A241" s="278"/>
      <c r="B241" s="277"/>
      <c r="C241" s="278"/>
    </row>
    <row r="242" spans="1:3" ht="14.5">
      <c r="A242" s="278"/>
      <c r="B242" s="277"/>
      <c r="C242" s="278"/>
    </row>
    <row r="243" spans="1:3" ht="14.5">
      <c r="A243" s="278"/>
      <c r="B243" s="277"/>
      <c r="C243" s="278"/>
    </row>
    <row r="244" spans="1:3" ht="14.5">
      <c r="A244" s="278"/>
      <c r="B244" s="277"/>
      <c r="C244" s="278"/>
    </row>
    <row r="245" spans="1:3" ht="14.5">
      <c r="A245" s="278"/>
      <c r="B245" s="277"/>
      <c r="C245" s="278"/>
    </row>
    <row r="246" spans="1:3" ht="14.5">
      <c r="A246" s="278"/>
      <c r="B246" s="277"/>
      <c r="C246" s="278"/>
    </row>
    <row r="247" spans="1:3" ht="14.5">
      <c r="A247" s="278"/>
      <c r="B247" s="277"/>
      <c r="C247" s="278"/>
    </row>
    <row r="248" spans="1:3" ht="14.5">
      <c r="A248" s="278"/>
      <c r="B248" s="277"/>
      <c r="C248" s="278"/>
    </row>
    <row r="249" spans="1:3" ht="14.5">
      <c r="A249" s="278"/>
      <c r="B249" s="277"/>
      <c r="C249" s="278"/>
    </row>
    <row r="250" spans="1:3" ht="14.5">
      <c r="A250" s="278"/>
      <c r="B250" s="277"/>
      <c r="C250" s="278"/>
    </row>
    <row r="251" spans="1:3" ht="14.5">
      <c r="A251" s="278"/>
      <c r="B251" s="277"/>
      <c r="C251" s="278"/>
    </row>
    <row r="252" spans="1:3" ht="14.5">
      <c r="A252" s="278"/>
      <c r="B252" s="277"/>
      <c r="C252" s="278"/>
    </row>
    <row r="253" spans="1:3" ht="14.5">
      <c r="A253" s="278"/>
      <c r="B253" s="277"/>
      <c r="C253" s="278"/>
    </row>
    <row r="254" spans="1:3" ht="14.5">
      <c r="A254" s="278"/>
      <c r="B254" s="277"/>
      <c r="C254" s="278"/>
    </row>
    <row r="255" spans="1:3" ht="14.5">
      <c r="A255" s="278"/>
      <c r="B255" s="277"/>
      <c r="C255" s="278"/>
    </row>
    <row r="256" spans="1:3" ht="14.5">
      <c r="A256" s="278"/>
      <c r="B256" s="277"/>
      <c r="C256" s="278"/>
    </row>
    <row r="257" spans="1:3" ht="14.5">
      <c r="A257" s="278"/>
      <c r="B257" s="277"/>
      <c r="C257" s="278"/>
    </row>
    <row r="258" spans="1:3" ht="14.5">
      <c r="A258" s="278"/>
      <c r="B258" s="277"/>
      <c r="C258" s="278"/>
    </row>
    <row r="259" spans="1:3" ht="14.5">
      <c r="A259" s="278"/>
      <c r="B259" s="277"/>
      <c r="C259" s="278"/>
    </row>
    <row r="260" spans="1:3" ht="14.5">
      <c r="A260" s="278"/>
      <c r="B260" s="277"/>
      <c r="C260" s="278"/>
    </row>
    <row r="261" spans="1:3" ht="14.5">
      <c r="A261" s="278"/>
      <c r="B261" s="277"/>
      <c r="C261" s="278"/>
    </row>
    <row r="262" spans="1:3" ht="14.5">
      <c r="A262" s="278"/>
      <c r="B262" s="277"/>
      <c r="C262" s="278"/>
    </row>
    <row r="263" spans="1:3" ht="14.5">
      <c r="A263" s="278"/>
      <c r="B263" s="277"/>
      <c r="C263" s="278"/>
    </row>
    <row r="264" spans="1:3" ht="14.5">
      <c r="A264" s="278"/>
      <c r="B264" s="277"/>
      <c r="C264" s="278"/>
    </row>
    <row r="265" spans="1:3" ht="14.5">
      <c r="A265" s="278"/>
      <c r="B265" s="277"/>
      <c r="C265" s="278"/>
    </row>
    <row r="266" spans="1:3" ht="14.5">
      <c r="A266" s="278"/>
      <c r="B266" s="277"/>
      <c r="C266" s="278"/>
    </row>
    <row r="267" spans="1:3" ht="14.5">
      <c r="A267" s="278"/>
      <c r="B267" s="277"/>
      <c r="C267" s="278"/>
    </row>
    <row r="268" spans="1:3" ht="14.5">
      <c r="A268" s="278"/>
      <c r="B268" s="277"/>
      <c r="C268" s="278"/>
    </row>
    <row r="269" spans="1:3" ht="14.5">
      <c r="A269" s="278"/>
      <c r="B269" s="277"/>
      <c r="C269" s="278"/>
    </row>
    <row r="270" spans="1:3" ht="14.5">
      <c r="A270" s="278"/>
      <c r="B270" s="277"/>
      <c r="C270" s="278"/>
    </row>
    <row r="271" spans="1:3" ht="14.5">
      <c r="A271" s="278"/>
      <c r="B271" s="277"/>
      <c r="C271" s="278"/>
    </row>
    <row r="272" spans="1:3" ht="14.5">
      <c r="A272" s="278"/>
      <c r="B272" s="277"/>
      <c r="C272" s="278"/>
    </row>
    <row r="273" spans="1:3" ht="14.5">
      <c r="A273" s="278"/>
      <c r="B273" s="277"/>
      <c r="C273" s="278"/>
    </row>
    <row r="274" spans="1:3" ht="14.5">
      <c r="A274" s="278"/>
      <c r="B274" s="277"/>
      <c r="C274" s="278"/>
    </row>
    <row r="275" spans="1:3" ht="14.5">
      <c r="A275" s="278"/>
      <c r="B275" s="277"/>
      <c r="C275" s="278"/>
    </row>
    <row r="276" spans="1:3" ht="14.5">
      <c r="A276" s="278"/>
      <c r="B276" s="277"/>
      <c r="C276" s="278"/>
    </row>
    <row r="277" spans="1:3" ht="14.5">
      <c r="A277" s="278"/>
      <c r="B277" s="277"/>
      <c r="C277" s="278"/>
    </row>
    <row r="278" spans="1:3" ht="14.5">
      <c r="A278" s="278"/>
      <c r="B278" s="277"/>
      <c r="C278" s="278"/>
    </row>
    <row r="279" spans="1:3" ht="14.5">
      <c r="A279" s="278"/>
      <c r="B279" s="277"/>
      <c r="C279" s="278"/>
    </row>
    <row r="280" spans="1:3" ht="14.5">
      <c r="A280" s="278"/>
      <c r="B280" s="277"/>
      <c r="C280" s="278"/>
    </row>
    <row r="281" spans="1:3" ht="14.5">
      <c r="A281" s="278"/>
      <c r="B281" s="277"/>
      <c r="C281" s="278"/>
    </row>
    <row r="282" spans="1:3" ht="14.5">
      <c r="A282" s="278"/>
      <c r="B282" s="277"/>
      <c r="C282" s="278"/>
    </row>
    <row r="283" spans="1:3" ht="14.5">
      <c r="A283" s="278"/>
      <c r="B283" s="277"/>
      <c r="C283" s="278"/>
    </row>
    <row r="284" spans="1:3" ht="14.5">
      <c r="A284" s="278"/>
      <c r="B284" s="277"/>
      <c r="C284" s="278"/>
    </row>
    <row r="285" spans="1:3" ht="14.5">
      <c r="A285" s="278"/>
      <c r="B285" s="277"/>
      <c r="C285" s="278"/>
    </row>
    <row r="286" spans="1:3" ht="14.5">
      <c r="A286" s="278"/>
      <c r="B286" s="277"/>
      <c r="C286" s="278"/>
    </row>
    <row r="287" spans="1:3" ht="14.5">
      <c r="A287" s="278"/>
      <c r="B287" s="277"/>
      <c r="C287" s="278"/>
    </row>
    <row r="288" spans="1:3" ht="14.5">
      <c r="A288" s="278"/>
      <c r="B288" s="277"/>
      <c r="C288" s="278"/>
    </row>
    <row r="289" spans="1:3" ht="14.5">
      <c r="A289" s="278"/>
      <c r="B289" s="277"/>
      <c r="C289" s="278"/>
    </row>
    <row r="290" spans="1:3" ht="14.5">
      <c r="A290" s="278"/>
      <c r="B290" s="277"/>
      <c r="C290" s="278"/>
    </row>
    <row r="291" spans="1:3" ht="14.5">
      <c r="A291" s="278"/>
      <c r="B291" s="277"/>
      <c r="C291" s="278"/>
    </row>
    <row r="292" spans="1:3" ht="14.5">
      <c r="A292" s="278"/>
      <c r="B292" s="277"/>
      <c r="C292" s="278"/>
    </row>
    <row r="293" spans="1:3" ht="14.5">
      <c r="A293" s="278"/>
      <c r="B293" s="277"/>
      <c r="C293" s="278"/>
    </row>
    <row r="294" spans="1:3" ht="14.5">
      <c r="A294" s="278"/>
      <c r="B294" s="277"/>
      <c r="C294" s="278"/>
    </row>
    <row r="295" spans="1:3" ht="14.5">
      <c r="A295" s="278"/>
      <c r="B295" s="277"/>
      <c r="C295" s="278"/>
    </row>
    <row r="296" spans="1:3" ht="14.5">
      <c r="A296" s="278"/>
      <c r="B296" s="277"/>
      <c r="C296" s="278"/>
    </row>
    <row r="297" spans="1:3" ht="14.5">
      <c r="A297" s="278"/>
      <c r="B297" s="277"/>
      <c r="C297" s="278"/>
    </row>
    <row r="298" spans="1:3" ht="14.5">
      <c r="A298" s="278"/>
      <c r="B298" s="277"/>
      <c r="C298" s="278"/>
    </row>
    <row r="299" spans="1:3" ht="14.5">
      <c r="A299" s="278"/>
      <c r="B299" s="277"/>
      <c r="C299" s="278"/>
    </row>
    <row r="300" spans="1:3" ht="14.5">
      <c r="A300" s="278"/>
      <c r="B300" s="277"/>
      <c r="C300" s="278"/>
    </row>
    <row r="301" spans="1:3" ht="14.5">
      <c r="A301" s="278"/>
      <c r="B301" s="277"/>
      <c r="C301" s="278"/>
    </row>
    <row r="302" spans="1:3" ht="14.5">
      <c r="A302" s="278"/>
      <c r="B302" s="277"/>
      <c r="C302" s="278"/>
    </row>
    <row r="303" spans="1:3" ht="14.5">
      <c r="A303" s="278"/>
      <c r="B303" s="277"/>
      <c r="C303" s="278"/>
    </row>
    <row r="304" spans="1:3" ht="14.5">
      <c r="A304" s="278"/>
      <c r="B304" s="277"/>
      <c r="C304" s="278"/>
    </row>
    <row r="305" spans="1:3" ht="14.5">
      <c r="A305" s="278"/>
      <c r="B305" s="277"/>
      <c r="C305" s="278"/>
    </row>
    <row r="306" spans="1:3" ht="14.5">
      <c r="A306" s="278"/>
      <c r="B306" s="277"/>
      <c r="C306" s="278"/>
    </row>
    <row r="307" spans="1:3" ht="14.5">
      <c r="A307" s="278"/>
      <c r="B307" s="277"/>
      <c r="C307" s="278"/>
    </row>
    <row r="308" spans="1:3" ht="14.5">
      <c r="A308" s="278"/>
      <c r="B308" s="277"/>
      <c r="C308" s="278"/>
    </row>
    <row r="309" spans="1:3" ht="14.5">
      <c r="A309" s="278"/>
      <c r="B309" s="277"/>
      <c r="C309" s="278"/>
    </row>
    <row r="310" spans="1:3" ht="14.5">
      <c r="A310" s="278"/>
      <c r="B310" s="277"/>
      <c r="C310" s="278"/>
    </row>
    <row r="311" spans="1:3" ht="14.5">
      <c r="A311" s="278"/>
      <c r="B311" s="277"/>
      <c r="C311" s="278"/>
    </row>
    <row r="312" spans="1:3" ht="14.5">
      <c r="A312" s="278"/>
      <c r="B312" s="277"/>
      <c r="C312" s="278"/>
    </row>
    <row r="313" spans="1:3" ht="14.5">
      <c r="A313" s="278"/>
      <c r="B313" s="277"/>
      <c r="C313" s="278"/>
    </row>
    <row r="314" spans="1:3" ht="14.5">
      <c r="A314" s="278"/>
      <c r="B314" s="277"/>
      <c r="C314" s="278"/>
    </row>
    <row r="315" spans="1:3" ht="14.5">
      <c r="A315" s="278"/>
      <c r="B315" s="277"/>
      <c r="C315" s="278"/>
    </row>
    <row r="316" spans="1:3" ht="14.5">
      <c r="A316" s="278"/>
      <c r="B316" s="277"/>
      <c r="C316" s="278"/>
    </row>
    <row r="317" spans="1:3" ht="14.5">
      <c r="A317" s="278"/>
      <c r="B317" s="277"/>
      <c r="C317" s="278"/>
    </row>
    <row r="318" spans="1:3" ht="14.5">
      <c r="A318" s="278"/>
      <c r="B318" s="277"/>
      <c r="C318" s="278"/>
    </row>
    <row r="319" spans="1:3" ht="14.5">
      <c r="A319" s="278"/>
      <c r="B319" s="277"/>
      <c r="C319" s="278"/>
    </row>
    <row r="320" spans="1:3" ht="14.5">
      <c r="A320" s="278"/>
      <c r="B320" s="277"/>
      <c r="C320" s="278"/>
    </row>
    <row r="321" spans="1:3" ht="14.5">
      <c r="A321" s="278"/>
      <c r="B321" s="277"/>
      <c r="C321" s="278"/>
    </row>
    <row r="322" spans="1:3" ht="14.5">
      <c r="A322" s="278"/>
      <c r="B322" s="277"/>
      <c r="C322" s="278"/>
    </row>
    <row r="323" spans="1:3" ht="14.5">
      <c r="A323" s="278"/>
      <c r="B323" s="277"/>
      <c r="C323" s="278"/>
    </row>
    <row r="324" spans="1:3" ht="14.5">
      <c r="A324" s="278"/>
      <c r="B324" s="277"/>
      <c r="C324" s="278"/>
    </row>
    <row r="325" spans="1:3" ht="14.5">
      <c r="A325" s="278"/>
      <c r="B325" s="277"/>
      <c r="C325" s="278"/>
    </row>
    <row r="326" spans="1:3" ht="14.5">
      <c r="A326" s="278"/>
      <c r="B326" s="277"/>
      <c r="C326" s="278"/>
    </row>
    <row r="327" spans="1:3" ht="14.5">
      <c r="A327" s="278"/>
      <c r="B327" s="277"/>
      <c r="C327" s="278"/>
    </row>
    <row r="328" spans="1:3" ht="14.5">
      <c r="A328" s="278"/>
      <c r="B328" s="277"/>
      <c r="C328" s="278"/>
    </row>
    <row r="329" spans="1:3" ht="14.5">
      <c r="A329" s="278"/>
      <c r="B329" s="277"/>
      <c r="C329" s="278"/>
    </row>
    <row r="330" spans="1:3" ht="14.5">
      <c r="A330" s="278"/>
      <c r="B330" s="277"/>
      <c r="C330" s="278"/>
    </row>
    <row r="331" spans="1:3" ht="14.5">
      <c r="A331" s="278"/>
      <c r="B331" s="277"/>
      <c r="C331" s="278"/>
    </row>
    <row r="332" spans="1:3" ht="14.5">
      <c r="A332" s="278"/>
      <c r="B332" s="277"/>
      <c r="C332" s="278"/>
    </row>
    <row r="333" spans="1:3" ht="14.5">
      <c r="A333" s="278"/>
      <c r="B333" s="277"/>
      <c r="C333" s="278"/>
    </row>
    <row r="334" spans="1:3" ht="14.5">
      <c r="A334" s="278"/>
      <c r="B334" s="277"/>
      <c r="C334" s="278"/>
    </row>
    <row r="335" spans="1:3" ht="14.5">
      <c r="A335" s="278"/>
      <c r="B335" s="277"/>
      <c r="C335" s="278"/>
    </row>
    <row r="336" spans="1:3" ht="14.5">
      <c r="A336" s="278"/>
      <c r="B336" s="277"/>
      <c r="C336" s="278"/>
    </row>
    <row r="337" spans="1:3" ht="14.5">
      <c r="A337" s="278"/>
      <c r="B337" s="277"/>
      <c r="C337" s="278"/>
    </row>
    <row r="338" spans="1:3" ht="14.5">
      <c r="A338" s="278"/>
      <c r="B338" s="277"/>
      <c r="C338" s="278"/>
    </row>
    <row r="339" spans="1:3" ht="14.5">
      <c r="A339" s="278"/>
      <c r="B339" s="277"/>
      <c r="C339" s="278"/>
    </row>
    <row r="340" spans="1:3" ht="14.5">
      <c r="A340" s="278"/>
      <c r="B340" s="277"/>
      <c r="C340" s="278"/>
    </row>
    <row r="341" spans="1:3" ht="14.5">
      <c r="A341" s="278"/>
      <c r="B341" s="277"/>
      <c r="C341" s="278"/>
    </row>
    <row r="342" spans="1:3" ht="14.5">
      <c r="A342" s="278"/>
      <c r="B342" s="277"/>
      <c r="C342" s="278"/>
    </row>
    <row r="343" spans="1:3" ht="14.5">
      <c r="A343" s="278"/>
      <c r="B343" s="277"/>
      <c r="C343" s="278"/>
    </row>
    <row r="344" spans="1:3" ht="14.5">
      <c r="A344" s="278"/>
      <c r="B344" s="277"/>
      <c r="C344" s="278"/>
    </row>
    <row r="345" spans="1:3" ht="14.5">
      <c r="A345" s="278"/>
      <c r="B345" s="277"/>
      <c r="C345" s="278"/>
    </row>
    <row r="346" spans="1:3" ht="14.5">
      <c r="A346" s="278"/>
      <c r="B346" s="277"/>
      <c r="C346" s="278"/>
    </row>
    <row r="347" spans="1:3" ht="14.5">
      <c r="A347" s="278"/>
      <c r="B347" s="277"/>
      <c r="C347" s="278"/>
    </row>
    <row r="348" spans="1:3" ht="14.5">
      <c r="A348" s="278"/>
      <c r="B348" s="277"/>
      <c r="C348" s="278"/>
    </row>
    <row r="349" spans="1:3" ht="14.5">
      <c r="A349" s="278"/>
      <c r="B349" s="277"/>
      <c r="C349" s="278"/>
    </row>
    <row r="350" spans="1:3" ht="14.5">
      <c r="A350" s="278"/>
      <c r="B350" s="277"/>
      <c r="C350" s="278"/>
    </row>
    <row r="351" spans="1:3" ht="14.5">
      <c r="A351" s="278"/>
      <c r="B351" s="277"/>
      <c r="C351" s="278"/>
    </row>
    <row r="352" spans="1:3" ht="14.5">
      <c r="A352" s="278"/>
      <c r="B352" s="277"/>
      <c r="C352" s="278"/>
    </row>
    <row r="353" spans="1:3" ht="14.5">
      <c r="A353" s="278"/>
      <c r="B353" s="277"/>
      <c r="C353" s="278"/>
    </row>
    <row r="354" spans="1:3" ht="14.5">
      <c r="A354" s="278"/>
      <c r="B354" s="277"/>
      <c r="C354" s="278"/>
    </row>
    <row r="355" spans="1:3" ht="14.5">
      <c r="A355" s="278"/>
      <c r="B355" s="277"/>
      <c r="C355" s="278"/>
    </row>
    <row r="356" spans="1:3" ht="14.5">
      <c r="A356" s="278"/>
      <c r="B356" s="277"/>
      <c r="C356" s="278"/>
    </row>
    <row r="357" spans="1:3" ht="14.5">
      <c r="A357" s="278"/>
      <c r="B357" s="277"/>
      <c r="C357" s="278"/>
    </row>
    <row r="358" spans="1:3" ht="14.5">
      <c r="A358" s="278"/>
      <c r="B358" s="277"/>
      <c r="C358" s="278"/>
    </row>
    <row r="359" spans="1:3" ht="14.5">
      <c r="A359" s="278"/>
      <c r="B359" s="277"/>
      <c r="C359" s="278"/>
    </row>
    <row r="360" spans="1:3" ht="14.5">
      <c r="A360" s="278"/>
      <c r="B360" s="277"/>
      <c r="C360" s="278"/>
    </row>
    <row r="361" spans="1:3" ht="14.5">
      <c r="A361" s="278"/>
      <c r="B361" s="277"/>
      <c r="C361" s="278"/>
    </row>
    <row r="362" spans="1:3" ht="14.5">
      <c r="A362" s="278"/>
      <c r="B362" s="277"/>
      <c r="C362" s="278"/>
    </row>
    <row r="363" spans="1:3" ht="14.5">
      <c r="A363" s="278"/>
      <c r="B363" s="277"/>
      <c r="C363" s="278"/>
    </row>
    <row r="364" spans="1:3" ht="14.5">
      <c r="A364" s="278"/>
      <c r="B364" s="277"/>
      <c r="C364" s="278"/>
    </row>
    <row r="365" spans="1:3" ht="14.5">
      <c r="A365" s="278"/>
      <c r="B365" s="277"/>
      <c r="C365" s="278"/>
    </row>
    <row r="366" spans="1:3" ht="14.5">
      <c r="A366" s="278"/>
      <c r="B366" s="277"/>
      <c r="C366" s="278"/>
    </row>
    <row r="367" spans="1:3" ht="14.5">
      <c r="A367" s="278"/>
      <c r="B367" s="277"/>
      <c r="C367" s="278"/>
    </row>
    <row r="368" spans="1:3" ht="14.5">
      <c r="A368" s="278"/>
      <c r="B368" s="277"/>
      <c r="C368" s="278"/>
    </row>
    <row r="369" spans="1:3" ht="14.5">
      <c r="A369" s="278"/>
      <c r="B369" s="277"/>
      <c r="C369" s="278"/>
    </row>
    <row r="370" spans="1:3" ht="14.5">
      <c r="A370" s="278"/>
      <c r="B370" s="277"/>
      <c r="C370" s="278"/>
    </row>
    <row r="371" spans="1:3" ht="14.5">
      <c r="A371" s="278"/>
      <c r="B371" s="277"/>
      <c r="C371" s="278"/>
    </row>
    <row r="372" spans="1:3" ht="14.5">
      <c r="A372" s="278"/>
      <c r="B372" s="277"/>
      <c r="C372" s="278"/>
    </row>
    <row r="373" spans="1:3" ht="14.5">
      <c r="A373" s="278"/>
      <c r="B373" s="277"/>
      <c r="C373" s="278"/>
    </row>
    <row r="374" spans="1:3" ht="14.5">
      <c r="A374" s="278"/>
      <c r="B374" s="277"/>
      <c r="C374" s="278"/>
    </row>
    <row r="375" spans="1:3" ht="14.5">
      <c r="A375" s="278"/>
      <c r="B375" s="277"/>
      <c r="C375" s="278"/>
    </row>
    <row r="376" spans="1:3" ht="14.5">
      <c r="A376" s="278"/>
      <c r="B376" s="277"/>
      <c r="C376" s="278"/>
    </row>
    <row r="377" spans="1:3" ht="14.5">
      <c r="A377" s="278"/>
      <c r="B377" s="277"/>
      <c r="C377" s="278"/>
    </row>
    <row r="378" spans="1:3" ht="14.5">
      <c r="A378" s="278"/>
      <c r="B378" s="277"/>
      <c r="C378" s="278"/>
    </row>
    <row r="379" spans="1:3" ht="14.5">
      <c r="A379" s="278"/>
      <c r="B379" s="277"/>
      <c r="C379" s="278"/>
    </row>
    <row r="380" spans="1:3" ht="14.5">
      <c r="A380" s="278"/>
      <c r="B380" s="277"/>
      <c r="C380" s="278"/>
    </row>
    <row r="381" spans="1:3" ht="14.5">
      <c r="A381" s="278"/>
      <c r="B381" s="277"/>
      <c r="C381" s="278"/>
    </row>
    <row r="382" spans="1:3" ht="14.5">
      <c r="A382" s="278"/>
      <c r="B382" s="277"/>
      <c r="C382" s="278"/>
    </row>
    <row r="383" spans="1:3" ht="14.5">
      <c r="A383" s="278"/>
      <c r="B383" s="277"/>
      <c r="C383" s="278"/>
    </row>
    <row r="384" spans="1:3" ht="14.5">
      <c r="A384" s="278"/>
      <c r="B384" s="277"/>
      <c r="C384" s="278"/>
    </row>
    <row r="385" spans="1:3" ht="14.5">
      <c r="A385" s="278"/>
      <c r="B385" s="277"/>
      <c r="C385" s="278"/>
    </row>
    <row r="386" spans="1:3" ht="14.5">
      <c r="A386" s="278"/>
      <c r="B386" s="277"/>
      <c r="C386" s="278"/>
    </row>
    <row r="387" spans="1:3" ht="14.5">
      <c r="A387" s="278"/>
      <c r="B387" s="277"/>
      <c r="C387" s="278"/>
    </row>
    <row r="388" spans="1:3" ht="14.5">
      <c r="A388" s="278"/>
      <c r="B388" s="277"/>
      <c r="C388" s="278"/>
    </row>
    <row r="389" spans="1:3" ht="14.5">
      <c r="A389" s="278"/>
      <c r="B389" s="277"/>
      <c r="C389" s="278"/>
    </row>
    <row r="390" spans="1:3" ht="14.5">
      <c r="A390" s="278"/>
      <c r="B390" s="277"/>
      <c r="C390" s="278"/>
    </row>
    <row r="391" spans="1:3" ht="14.5">
      <c r="A391" s="278"/>
      <c r="B391" s="277"/>
      <c r="C391" s="278"/>
    </row>
    <row r="392" spans="1:3" ht="14.5">
      <c r="A392" s="278"/>
      <c r="B392" s="277"/>
      <c r="C392" s="278"/>
    </row>
    <row r="393" spans="1:3" ht="14.5">
      <c r="A393" s="278"/>
      <c r="B393" s="277"/>
      <c r="C393" s="278"/>
    </row>
    <row r="394" spans="1:3" ht="14.5">
      <c r="A394" s="278"/>
      <c r="B394" s="277"/>
      <c r="C394" s="278"/>
    </row>
    <row r="395" spans="1:3" ht="14.5">
      <c r="A395" s="278"/>
      <c r="B395" s="277"/>
      <c r="C395" s="278"/>
    </row>
    <row r="396" spans="1:3" ht="14.5">
      <c r="A396" s="278"/>
      <c r="B396" s="277"/>
      <c r="C396" s="278"/>
    </row>
    <row r="397" spans="1:3" ht="14.5">
      <c r="A397" s="278"/>
      <c r="B397" s="277"/>
      <c r="C397" s="278"/>
    </row>
    <row r="398" spans="1:3" ht="14.5">
      <c r="A398" s="278"/>
      <c r="B398" s="277"/>
      <c r="C398" s="278"/>
    </row>
    <row r="399" spans="1:3" ht="14.5">
      <c r="A399" s="278"/>
      <c r="B399" s="277"/>
      <c r="C399" s="278"/>
    </row>
    <row r="400" spans="1:3" ht="14.5">
      <c r="A400" s="278"/>
      <c r="B400" s="277"/>
      <c r="C400" s="278"/>
    </row>
    <row r="401" spans="1:3" ht="14.5">
      <c r="A401" s="278"/>
      <c r="B401" s="277"/>
      <c r="C401" s="278"/>
    </row>
    <row r="402" spans="1:3" ht="14.5">
      <c r="A402" s="278"/>
      <c r="B402" s="277"/>
      <c r="C402" s="278"/>
    </row>
    <row r="403" spans="1:3" ht="14.5">
      <c r="A403" s="278"/>
      <c r="B403" s="277"/>
      <c r="C403" s="278"/>
    </row>
    <row r="404" spans="1:3" ht="14.5">
      <c r="A404" s="278"/>
      <c r="B404" s="277"/>
      <c r="C404" s="278"/>
    </row>
    <row r="405" spans="1:3" ht="14.5">
      <c r="A405" s="278"/>
      <c r="B405" s="277"/>
      <c r="C405" s="278"/>
    </row>
    <row r="406" spans="1:3" ht="14.5">
      <c r="A406" s="278"/>
      <c r="B406" s="277"/>
      <c r="C406" s="278"/>
    </row>
    <row r="407" spans="1:3" ht="14.5">
      <c r="A407" s="278"/>
      <c r="B407" s="277"/>
      <c r="C407" s="278"/>
    </row>
    <row r="408" spans="1:3" ht="14.5">
      <c r="A408" s="278"/>
      <c r="B408" s="277"/>
      <c r="C408" s="278"/>
    </row>
    <row r="409" spans="1:3" ht="14.5">
      <c r="A409" s="278"/>
      <c r="B409" s="277"/>
      <c r="C409" s="278"/>
    </row>
    <row r="410" spans="1:3" ht="14.5">
      <c r="A410" s="278"/>
      <c r="B410" s="277"/>
      <c r="C410" s="278"/>
    </row>
    <row r="411" spans="1:3" ht="14.5">
      <c r="A411" s="278"/>
      <c r="B411" s="277"/>
      <c r="C411" s="278"/>
    </row>
    <row r="412" spans="1:3" ht="14.5">
      <c r="A412" s="278"/>
      <c r="B412" s="277"/>
      <c r="C412" s="278"/>
    </row>
    <row r="413" spans="1:3" ht="14.5">
      <c r="A413" s="278"/>
      <c r="B413" s="277"/>
      <c r="C413" s="278"/>
    </row>
    <row r="414" spans="1:3" ht="14.5">
      <c r="A414" s="278"/>
      <c r="B414" s="277"/>
      <c r="C414" s="278"/>
    </row>
    <row r="415" spans="1:3" ht="14.5">
      <c r="A415" s="278"/>
      <c r="B415" s="277"/>
      <c r="C415" s="278"/>
    </row>
    <row r="416" spans="1:3" ht="14.5">
      <c r="A416" s="278"/>
      <c r="B416" s="277"/>
      <c r="C416" s="278"/>
    </row>
    <row r="417" spans="1:3" ht="14.5">
      <c r="A417" s="278"/>
      <c r="B417" s="277"/>
      <c r="C417" s="278"/>
    </row>
    <row r="418" spans="1:3" ht="14.5">
      <c r="A418" s="278"/>
      <c r="B418" s="277"/>
      <c r="C418" s="278"/>
    </row>
    <row r="419" spans="1:3" ht="14.5">
      <c r="A419" s="278"/>
      <c r="B419" s="277"/>
      <c r="C419" s="278"/>
    </row>
    <row r="420" spans="1:3" ht="14.5">
      <c r="A420" s="278"/>
      <c r="B420" s="277"/>
      <c r="C420" s="278"/>
    </row>
    <row r="421" spans="1:3" ht="14.5">
      <c r="A421" s="278"/>
      <c r="B421" s="277"/>
      <c r="C421" s="278"/>
    </row>
    <row r="422" spans="1:3" ht="14.5">
      <c r="A422" s="278"/>
      <c r="B422" s="277"/>
      <c r="C422" s="278"/>
    </row>
    <row r="423" spans="1:3" ht="14.5">
      <c r="A423" s="278"/>
      <c r="B423" s="277"/>
      <c r="C423" s="278"/>
    </row>
    <row r="424" spans="1:3" ht="14.5">
      <c r="A424" s="278"/>
      <c r="B424" s="277"/>
      <c r="C424" s="278"/>
    </row>
    <row r="425" spans="1:3" ht="14.5">
      <c r="A425" s="278"/>
      <c r="B425" s="277"/>
      <c r="C425" s="278"/>
    </row>
    <row r="426" spans="1:3" ht="14.5">
      <c r="A426" s="278"/>
      <c r="B426" s="277"/>
      <c r="C426" s="278"/>
    </row>
    <row r="427" spans="1:3" ht="14.5">
      <c r="A427" s="278"/>
      <c r="B427" s="277"/>
      <c r="C427" s="278"/>
    </row>
    <row r="428" spans="1:3" ht="14.5">
      <c r="A428" s="278"/>
      <c r="B428" s="277"/>
      <c r="C428" s="278"/>
    </row>
    <row r="429" spans="1:3" ht="14.5">
      <c r="A429" s="278"/>
      <c r="B429" s="277"/>
      <c r="C429" s="278"/>
    </row>
    <row r="430" spans="1:3" ht="14.5">
      <c r="A430" s="278"/>
      <c r="B430" s="277"/>
      <c r="C430" s="278"/>
    </row>
    <row r="431" spans="1:3" ht="14.5">
      <c r="A431" s="278"/>
      <c r="B431" s="277"/>
      <c r="C431" s="278"/>
    </row>
    <row r="432" spans="1:3" ht="14.5">
      <c r="A432" s="278"/>
      <c r="B432" s="277"/>
      <c r="C432" s="278"/>
    </row>
    <row r="433" spans="1:3" ht="14.5">
      <c r="A433" s="278"/>
      <c r="B433" s="277"/>
      <c r="C433" s="278"/>
    </row>
    <row r="434" spans="1:3" ht="14.5">
      <c r="A434" s="278"/>
      <c r="B434" s="277"/>
      <c r="C434" s="278"/>
    </row>
    <row r="435" spans="1:3" ht="14.5">
      <c r="A435" s="278"/>
      <c r="B435" s="277"/>
      <c r="C435" s="278"/>
    </row>
    <row r="436" spans="1:3" ht="14.5">
      <c r="A436" s="278"/>
      <c r="B436" s="277"/>
      <c r="C436" s="278"/>
    </row>
    <row r="437" spans="1:3" ht="14.5">
      <c r="A437" s="278"/>
      <c r="B437" s="277"/>
      <c r="C437" s="278"/>
    </row>
    <row r="438" spans="1:3" ht="14.5">
      <c r="A438" s="278"/>
      <c r="B438" s="277"/>
      <c r="C438" s="278"/>
    </row>
    <row r="439" spans="1:3" ht="14.5">
      <c r="A439" s="278"/>
      <c r="B439" s="277"/>
      <c r="C439" s="278"/>
    </row>
    <row r="440" spans="1:3" ht="14.5">
      <c r="A440" s="278"/>
      <c r="B440" s="277"/>
      <c r="C440" s="278"/>
    </row>
    <row r="441" spans="1:3" ht="14.5">
      <c r="A441" s="278"/>
      <c r="B441" s="277"/>
      <c r="C441" s="278"/>
    </row>
    <row r="442" spans="1:3" ht="14.5">
      <c r="A442" s="278"/>
      <c r="B442" s="277"/>
      <c r="C442" s="278"/>
    </row>
    <row r="443" spans="1:3" ht="14.5">
      <c r="A443" s="278"/>
      <c r="B443" s="277"/>
      <c r="C443" s="278"/>
    </row>
    <row r="444" spans="1:3" ht="14.5">
      <c r="A444" s="278"/>
      <c r="B444" s="277"/>
      <c r="C444" s="278"/>
    </row>
    <row r="445" spans="1:3" ht="14.5">
      <c r="A445" s="278"/>
      <c r="B445" s="277"/>
      <c r="C445" s="278"/>
    </row>
    <row r="446" spans="1:3" ht="14.5">
      <c r="A446" s="278"/>
      <c r="B446" s="277"/>
      <c r="C446" s="278"/>
    </row>
    <row r="447" spans="1:3" ht="14.5">
      <c r="A447" s="278"/>
      <c r="B447" s="277"/>
      <c r="C447" s="278"/>
    </row>
    <row r="448" spans="1:3" ht="14.5">
      <c r="A448" s="278"/>
      <c r="B448" s="277"/>
      <c r="C448" s="278"/>
    </row>
    <row r="449" spans="1:3" ht="14.5">
      <c r="A449" s="278"/>
      <c r="B449" s="277"/>
      <c r="C449" s="278"/>
    </row>
    <row r="450" spans="1:3" ht="14.5">
      <c r="A450" s="278"/>
      <c r="B450" s="277"/>
      <c r="C450" s="278"/>
    </row>
    <row r="451" spans="1:3" ht="14.5">
      <c r="A451" s="278"/>
      <c r="B451" s="277"/>
      <c r="C451" s="278"/>
    </row>
    <row r="452" spans="1:3" ht="14.5">
      <c r="A452" s="278"/>
      <c r="B452" s="277"/>
      <c r="C452" s="278"/>
    </row>
    <row r="453" spans="1:3" ht="14.5">
      <c r="A453" s="278"/>
      <c r="B453" s="277"/>
      <c r="C453" s="278"/>
    </row>
    <row r="454" spans="1:3" ht="14.5">
      <c r="A454" s="278"/>
      <c r="B454" s="277"/>
      <c r="C454" s="278"/>
    </row>
    <row r="455" spans="1:3" ht="14.5">
      <c r="A455" s="278"/>
      <c r="B455" s="277"/>
      <c r="C455" s="278"/>
    </row>
    <row r="456" spans="1:3" ht="14.5">
      <c r="A456" s="278"/>
      <c r="B456" s="277"/>
      <c r="C456" s="278"/>
    </row>
    <row r="457" spans="1:3" ht="14.5">
      <c r="A457" s="278"/>
      <c r="B457" s="277"/>
      <c r="C457" s="278"/>
    </row>
    <row r="458" spans="1:3" ht="14.5">
      <c r="A458" s="278"/>
      <c r="B458" s="277"/>
      <c r="C458" s="278"/>
    </row>
    <row r="459" spans="1:3" ht="14.5">
      <c r="A459" s="278"/>
      <c r="B459" s="277"/>
      <c r="C459" s="278"/>
    </row>
    <row r="460" spans="1:3" ht="14.5">
      <c r="A460" s="278"/>
      <c r="B460" s="277"/>
      <c r="C460" s="278"/>
    </row>
    <row r="461" spans="1:3" ht="14.5">
      <c r="A461" s="278"/>
      <c r="B461" s="277"/>
      <c r="C461" s="278"/>
    </row>
    <row r="462" spans="1:3" ht="14.5">
      <c r="A462" s="278"/>
      <c r="B462" s="277"/>
      <c r="C462" s="278"/>
    </row>
    <row r="463" spans="1:3" ht="14.5">
      <c r="A463" s="278"/>
      <c r="B463" s="277"/>
      <c r="C463" s="278"/>
    </row>
    <row r="464" spans="1:3" ht="14.5">
      <c r="A464" s="278"/>
      <c r="B464" s="277"/>
      <c r="C464" s="278"/>
    </row>
    <row r="465" spans="1:3" ht="14.5">
      <c r="A465" s="278"/>
      <c r="B465" s="277"/>
      <c r="C465" s="278"/>
    </row>
    <row r="466" spans="1:3" ht="14.5">
      <c r="A466" s="278"/>
      <c r="B466" s="277"/>
      <c r="C466" s="278"/>
    </row>
    <row r="467" spans="1:3" ht="14.5">
      <c r="A467" s="278"/>
      <c r="B467" s="277"/>
      <c r="C467" s="278"/>
    </row>
    <row r="468" spans="1:3" ht="14.5">
      <c r="A468" s="278"/>
      <c r="B468" s="277"/>
      <c r="C468" s="278"/>
    </row>
    <row r="469" spans="1:3" ht="14.5">
      <c r="A469" s="278"/>
      <c r="B469" s="277"/>
      <c r="C469" s="278"/>
    </row>
    <row r="470" spans="1:3" ht="14.5">
      <c r="A470" s="278"/>
      <c r="B470" s="277"/>
      <c r="C470" s="278"/>
    </row>
    <row r="471" spans="1:3" ht="14.5">
      <c r="A471" s="278"/>
      <c r="B471" s="277"/>
      <c r="C471" s="278"/>
    </row>
    <row r="472" spans="1:3" ht="14.5">
      <c r="A472" s="278"/>
      <c r="B472" s="277"/>
      <c r="C472" s="278"/>
    </row>
    <row r="473" spans="1:3" ht="14.5">
      <c r="A473" s="278"/>
      <c r="B473" s="277"/>
      <c r="C473" s="278"/>
    </row>
    <row r="474" spans="1:3" ht="14.5">
      <c r="A474" s="278"/>
      <c r="B474" s="277"/>
      <c r="C474" s="278"/>
    </row>
    <row r="475" spans="1:3" ht="14.5">
      <c r="A475" s="278"/>
      <c r="B475" s="277"/>
      <c r="C475" s="278"/>
    </row>
    <row r="476" spans="1:3" ht="14.5">
      <c r="A476" s="278"/>
      <c r="B476" s="277"/>
      <c r="C476" s="278"/>
    </row>
    <row r="477" spans="1:3" ht="14.5">
      <c r="A477" s="278"/>
      <c r="B477" s="277"/>
      <c r="C477" s="278"/>
    </row>
    <row r="478" spans="1:3" ht="14.5">
      <c r="A478" s="278"/>
      <c r="B478" s="277"/>
      <c r="C478" s="278"/>
    </row>
    <row r="479" spans="1:3" ht="14.5">
      <c r="A479" s="278"/>
      <c r="B479" s="277"/>
      <c r="C479" s="278"/>
    </row>
    <row r="480" spans="1:3" ht="14.5">
      <c r="A480" s="278"/>
      <c r="B480" s="277"/>
      <c r="C480" s="278"/>
    </row>
    <row r="481" spans="1:3" ht="14.5">
      <c r="A481" s="278"/>
      <c r="B481" s="277"/>
      <c r="C481" s="278"/>
    </row>
    <row r="482" spans="1:3" ht="14.5">
      <c r="A482" s="278"/>
      <c r="B482" s="277"/>
      <c r="C482" s="278"/>
    </row>
    <row r="483" spans="1:3" ht="14.5">
      <c r="A483" s="278"/>
      <c r="B483" s="277"/>
      <c r="C483" s="278"/>
    </row>
    <row r="484" spans="1:3" ht="14.5">
      <c r="A484" s="278"/>
      <c r="B484" s="277"/>
      <c r="C484" s="278"/>
    </row>
    <row r="485" spans="1:3" ht="14.5">
      <c r="A485" s="278"/>
      <c r="B485" s="277"/>
      <c r="C485" s="278"/>
    </row>
    <row r="486" spans="1:3" ht="14.5">
      <c r="A486" s="278"/>
      <c r="B486" s="277"/>
      <c r="C486" s="278"/>
    </row>
    <row r="487" spans="1:3" ht="14.5">
      <c r="A487" s="278"/>
      <c r="B487" s="277"/>
      <c r="C487" s="278"/>
    </row>
    <row r="488" spans="1:3" ht="14.5">
      <c r="A488" s="278"/>
      <c r="B488" s="277"/>
      <c r="C488" s="278"/>
    </row>
    <row r="489" spans="1:3" ht="14.5">
      <c r="A489" s="278"/>
      <c r="B489" s="277"/>
      <c r="C489" s="278"/>
    </row>
    <row r="490" spans="1:3" ht="14.5">
      <c r="A490" s="278"/>
      <c r="B490" s="277"/>
      <c r="C490" s="278"/>
    </row>
    <row r="491" spans="1:3" ht="14.5">
      <c r="A491" s="278"/>
      <c r="B491" s="277"/>
      <c r="C491" s="278"/>
    </row>
    <row r="492" spans="1:3" ht="14.5">
      <c r="A492" s="278"/>
      <c r="B492" s="277"/>
      <c r="C492" s="278"/>
    </row>
    <row r="493" spans="1:3" ht="14.5">
      <c r="A493" s="278"/>
      <c r="B493" s="277"/>
      <c r="C493" s="278"/>
    </row>
    <row r="494" spans="1:3" ht="14.5">
      <c r="A494" s="278"/>
      <c r="B494" s="277"/>
      <c r="C494" s="278"/>
    </row>
    <row r="495" spans="1:3" ht="14.5">
      <c r="A495" s="278"/>
      <c r="B495" s="277"/>
      <c r="C495" s="278"/>
    </row>
    <row r="496" spans="1:3" ht="14.5">
      <c r="A496" s="278"/>
      <c r="B496" s="277"/>
      <c r="C496" s="278"/>
    </row>
    <row r="497" spans="1:3" ht="14.5">
      <c r="A497" s="278"/>
      <c r="B497" s="277"/>
      <c r="C497" s="278"/>
    </row>
    <row r="498" spans="1:3" ht="14.5">
      <c r="A498" s="278"/>
      <c r="B498" s="277"/>
      <c r="C498" s="278"/>
    </row>
    <row r="499" spans="1:3" ht="14.5">
      <c r="A499" s="278"/>
      <c r="B499" s="277"/>
      <c r="C499" s="278"/>
    </row>
    <row r="500" spans="1:3" ht="14.5">
      <c r="A500" s="278"/>
      <c r="B500" s="277"/>
      <c r="C500" s="278"/>
    </row>
    <row r="501" spans="1:3" ht="14.5">
      <c r="A501" s="278"/>
      <c r="B501" s="277"/>
      <c r="C501" s="278"/>
    </row>
    <row r="502" spans="1:3" ht="14.5">
      <c r="A502" s="278"/>
      <c r="B502" s="277"/>
      <c r="C502" s="278"/>
    </row>
    <row r="503" spans="1:3" ht="14.5">
      <c r="A503" s="278"/>
      <c r="B503" s="277"/>
      <c r="C503" s="278"/>
    </row>
    <row r="504" spans="1:3" ht="14.5">
      <c r="A504" s="278"/>
      <c r="B504" s="277"/>
      <c r="C504" s="278"/>
    </row>
    <row r="505" spans="1:3" ht="14.5">
      <c r="A505" s="278"/>
      <c r="B505" s="277"/>
      <c r="C505" s="278"/>
    </row>
    <row r="506" spans="1:3" ht="14.5">
      <c r="A506" s="278"/>
      <c r="B506" s="277"/>
      <c r="C506" s="278"/>
    </row>
    <row r="507" spans="1:3" ht="14.5">
      <c r="A507" s="278"/>
      <c r="B507" s="277"/>
      <c r="C507" s="278"/>
    </row>
    <row r="508" spans="1:3" ht="14.5">
      <c r="A508" s="278"/>
      <c r="B508" s="277"/>
      <c r="C508" s="278"/>
    </row>
    <row r="509" spans="1:3" ht="14.5">
      <c r="A509" s="278"/>
      <c r="B509" s="277"/>
      <c r="C509" s="278"/>
    </row>
    <row r="510" spans="1:3" ht="14.5">
      <c r="A510" s="278"/>
      <c r="B510" s="277"/>
      <c r="C510" s="278"/>
    </row>
    <row r="511" spans="1:3" ht="14.5">
      <c r="A511" s="278"/>
      <c r="B511" s="277"/>
      <c r="C511" s="278"/>
    </row>
    <row r="512" spans="1:3" ht="14.5">
      <c r="A512" s="278"/>
      <c r="B512" s="277"/>
      <c r="C512" s="278"/>
    </row>
    <row r="513" spans="1:3" ht="14.5">
      <c r="A513" s="278"/>
      <c r="B513" s="277"/>
      <c r="C513" s="278"/>
    </row>
    <row r="514" spans="1:3" ht="14.5">
      <c r="A514" s="278"/>
      <c r="B514" s="277"/>
      <c r="C514" s="278"/>
    </row>
    <row r="515" spans="1:3" ht="14.5">
      <c r="A515" s="278"/>
      <c r="B515" s="277"/>
      <c r="C515" s="278"/>
    </row>
    <row r="516" spans="1:3" ht="14.5">
      <c r="A516" s="278"/>
      <c r="B516" s="277"/>
      <c r="C516" s="278"/>
    </row>
    <row r="517" spans="1:3" ht="14.5">
      <c r="A517" s="278"/>
      <c r="B517" s="277"/>
      <c r="C517" s="278"/>
    </row>
    <row r="518" spans="1:3" ht="14.5">
      <c r="A518" s="278"/>
      <c r="B518" s="277"/>
      <c r="C518" s="278"/>
    </row>
    <row r="519" spans="1:3" ht="14.5">
      <c r="A519" s="278"/>
      <c r="B519" s="277"/>
      <c r="C519" s="278"/>
    </row>
    <row r="520" spans="1:3" ht="14.5">
      <c r="A520" s="278"/>
      <c r="B520" s="277"/>
      <c r="C520" s="278"/>
    </row>
    <row r="521" spans="1:3" ht="14.5">
      <c r="A521" s="278"/>
      <c r="B521" s="277"/>
      <c r="C521" s="278"/>
    </row>
    <row r="522" spans="1:3" ht="14.5">
      <c r="A522" s="278"/>
      <c r="B522" s="277"/>
      <c r="C522" s="278"/>
    </row>
    <row r="523" spans="1:3" ht="14.5">
      <c r="A523" s="278"/>
      <c r="B523" s="277"/>
      <c r="C523" s="278"/>
    </row>
    <row r="524" spans="1:3" ht="14.5">
      <c r="A524" s="278"/>
      <c r="B524" s="277"/>
      <c r="C524" s="278"/>
    </row>
    <row r="525" spans="1:3" ht="14.5">
      <c r="A525" s="278"/>
      <c r="B525" s="277"/>
      <c r="C525" s="278"/>
    </row>
    <row r="526" spans="1:3" ht="14.5">
      <c r="A526" s="278"/>
      <c r="B526" s="277"/>
      <c r="C526" s="278"/>
    </row>
    <row r="527" spans="1:3" ht="14.5">
      <c r="A527" s="278"/>
      <c r="B527" s="277"/>
      <c r="C527" s="278"/>
    </row>
    <row r="528" spans="1:3" ht="14.5">
      <c r="A528" s="278"/>
      <c r="B528" s="277"/>
      <c r="C528" s="278"/>
    </row>
    <row r="529" spans="1:3" ht="14.5">
      <c r="A529" s="278"/>
      <c r="B529" s="277"/>
      <c r="C529" s="278"/>
    </row>
    <row r="530" spans="1:3" ht="14.5">
      <c r="A530" s="278"/>
      <c r="B530" s="277"/>
      <c r="C530" s="278"/>
    </row>
    <row r="531" spans="1:3" ht="14.5">
      <c r="A531" s="278"/>
      <c r="B531" s="277"/>
      <c r="C531" s="278"/>
    </row>
    <row r="532" spans="1:3" ht="14.5">
      <c r="A532" s="278"/>
      <c r="B532" s="277"/>
      <c r="C532" s="278"/>
    </row>
    <row r="533" spans="1:3" ht="14.5">
      <c r="A533" s="278"/>
      <c r="B533" s="277"/>
      <c r="C533" s="278"/>
    </row>
    <row r="534" spans="1:3" ht="14.5">
      <c r="A534" s="278"/>
      <c r="B534" s="277"/>
      <c r="C534" s="278"/>
    </row>
    <row r="535" spans="1:3" ht="14.5">
      <c r="A535" s="278"/>
      <c r="B535" s="277"/>
      <c r="C535" s="278"/>
    </row>
    <row r="536" spans="1:3" ht="14.5">
      <c r="A536" s="278"/>
      <c r="B536" s="277"/>
      <c r="C536" s="278"/>
    </row>
    <row r="537" spans="1:3" ht="14.5">
      <c r="A537" s="278"/>
      <c r="B537" s="277"/>
      <c r="C537" s="278"/>
    </row>
    <row r="538" spans="1:3" ht="14.5">
      <c r="A538" s="278"/>
      <c r="B538" s="277"/>
      <c r="C538" s="278"/>
    </row>
    <row r="539" spans="1:3" ht="14.5">
      <c r="A539" s="278"/>
      <c r="B539" s="277"/>
      <c r="C539" s="278"/>
    </row>
    <row r="540" spans="1:3" ht="14.5">
      <c r="A540" s="278"/>
      <c r="B540" s="277"/>
      <c r="C540" s="278"/>
    </row>
    <row r="541" spans="1:3" ht="14.5">
      <c r="A541" s="278"/>
      <c r="B541" s="277"/>
      <c r="C541" s="278"/>
    </row>
    <row r="542" spans="1:3" ht="14.5">
      <c r="A542" s="278"/>
      <c r="B542" s="277"/>
      <c r="C542" s="278"/>
    </row>
    <row r="543" spans="1:3" ht="14.5">
      <c r="A543" s="278"/>
      <c r="B543" s="277"/>
      <c r="C543" s="278"/>
    </row>
    <row r="544" spans="1:3" ht="14.5">
      <c r="A544" s="278"/>
      <c r="B544" s="277"/>
      <c r="C544" s="278"/>
    </row>
    <row r="545" spans="1:3" ht="14.5">
      <c r="A545" s="278"/>
      <c r="B545" s="277"/>
      <c r="C545" s="278"/>
    </row>
    <row r="546" spans="1:3" ht="14.5">
      <c r="A546" s="278"/>
      <c r="B546" s="277"/>
      <c r="C546" s="278"/>
    </row>
    <row r="547" spans="1:3" ht="14.5">
      <c r="A547" s="278"/>
      <c r="B547" s="277"/>
      <c r="C547" s="278"/>
    </row>
    <row r="548" spans="1:3" ht="14.5">
      <c r="A548" s="278"/>
      <c r="B548" s="277"/>
      <c r="C548" s="278"/>
    </row>
    <row r="549" spans="1:3" ht="14.5">
      <c r="A549" s="278"/>
      <c r="B549" s="277"/>
      <c r="C549" s="278"/>
    </row>
    <row r="550" spans="1:3" ht="14.5">
      <c r="A550" s="278"/>
      <c r="B550" s="277"/>
      <c r="C550" s="278"/>
    </row>
    <row r="551" spans="1:3" ht="14.5">
      <c r="A551" s="278"/>
      <c r="B551" s="277"/>
      <c r="C551" s="278"/>
    </row>
    <row r="552" spans="1:3" ht="14.5">
      <c r="A552" s="278"/>
      <c r="B552" s="277"/>
      <c r="C552" s="278"/>
    </row>
    <row r="553" spans="1:3" ht="14.5">
      <c r="A553" s="278"/>
      <c r="B553" s="277"/>
      <c r="C553" s="278"/>
    </row>
    <row r="554" spans="1:3" ht="14.5">
      <c r="A554" s="278"/>
      <c r="B554" s="277"/>
      <c r="C554" s="278"/>
    </row>
    <row r="555" spans="1:3" ht="14.5">
      <c r="A555" s="278"/>
      <c r="B555" s="277"/>
      <c r="C555" s="278"/>
    </row>
    <row r="556" spans="1:3" ht="14.5">
      <c r="A556" s="278"/>
      <c r="B556" s="277"/>
      <c r="C556" s="278"/>
    </row>
    <row r="557" spans="1:3" ht="14.5">
      <c r="A557" s="278"/>
      <c r="B557" s="277"/>
      <c r="C557" s="278"/>
    </row>
    <row r="558" spans="1:3" ht="14.5">
      <c r="A558" s="278"/>
      <c r="B558" s="277"/>
      <c r="C558" s="278"/>
    </row>
    <row r="559" spans="1:3" ht="14.5">
      <c r="A559" s="278"/>
      <c r="B559" s="277"/>
      <c r="C559" s="278"/>
    </row>
    <row r="560" spans="1:3" ht="14.5">
      <c r="A560" s="278"/>
      <c r="B560" s="277"/>
      <c r="C560" s="278"/>
    </row>
    <row r="561" spans="1:3" ht="14.5">
      <c r="A561" s="278"/>
      <c r="B561" s="277"/>
      <c r="C561" s="278"/>
    </row>
    <row r="562" spans="1:3" ht="14.5">
      <c r="A562" s="278"/>
      <c r="B562" s="277"/>
      <c r="C562" s="278"/>
    </row>
    <row r="563" spans="1:3" ht="14.5">
      <c r="A563" s="278"/>
      <c r="B563" s="277"/>
      <c r="C563" s="278"/>
    </row>
    <row r="564" spans="1:3" ht="14.5">
      <c r="A564" s="278"/>
      <c r="B564" s="277"/>
      <c r="C564" s="278"/>
    </row>
    <row r="565" spans="1:3" ht="14.5">
      <c r="A565" s="278"/>
      <c r="B565" s="277"/>
      <c r="C565" s="278"/>
    </row>
    <row r="566" spans="1:3" ht="14.5">
      <c r="A566" s="278"/>
      <c r="B566" s="277"/>
      <c r="C566" s="278"/>
    </row>
    <row r="567" spans="1:3" ht="14.5">
      <c r="A567" s="278"/>
      <c r="B567" s="277"/>
      <c r="C567" s="278"/>
    </row>
    <row r="568" spans="1:3" ht="14.5">
      <c r="A568" s="278"/>
      <c r="B568" s="277"/>
      <c r="C568" s="278"/>
    </row>
    <row r="569" spans="1:3" ht="14.5">
      <c r="A569" s="278"/>
      <c r="B569" s="277"/>
      <c r="C569" s="278"/>
    </row>
    <row r="570" spans="1:3" ht="14.5">
      <c r="A570" s="278"/>
      <c r="B570" s="277"/>
      <c r="C570" s="278"/>
    </row>
    <row r="571" spans="1:3" ht="14.5">
      <c r="A571" s="278"/>
      <c r="B571" s="277"/>
      <c r="C571" s="278"/>
    </row>
    <row r="572" spans="1:3" ht="14.5">
      <c r="A572" s="278"/>
      <c r="B572" s="277"/>
      <c r="C572" s="278"/>
    </row>
    <row r="573" spans="1:3" ht="14.5">
      <c r="A573" s="278"/>
      <c r="B573" s="277"/>
      <c r="C573" s="278"/>
    </row>
    <row r="574" spans="1:3" ht="14.5">
      <c r="A574" s="278"/>
      <c r="B574" s="277"/>
      <c r="C574" s="278"/>
    </row>
    <row r="575" spans="1:3" ht="14.5">
      <c r="A575" s="278"/>
      <c r="B575" s="277"/>
      <c r="C575" s="278"/>
    </row>
    <row r="576" spans="1:3" ht="14.5">
      <c r="A576" s="278"/>
      <c r="B576" s="277"/>
      <c r="C576" s="278"/>
    </row>
    <row r="577" spans="1:3" ht="14.5">
      <c r="A577" s="278"/>
      <c r="B577" s="277"/>
      <c r="C577" s="278"/>
    </row>
    <row r="578" spans="1:3" ht="14.5">
      <c r="A578" s="278"/>
      <c r="B578" s="277"/>
      <c r="C578" s="278"/>
    </row>
    <row r="579" spans="1:3" ht="14.5">
      <c r="A579" s="278"/>
      <c r="B579" s="277"/>
      <c r="C579" s="278"/>
    </row>
    <row r="580" spans="1:3" ht="14.5">
      <c r="A580" s="278"/>
      <c r="B580" s="277"/>
      <c r="C580" s="278"/>
    </row>
    <row r="581" spans="1:3" ht="14.5">
      <c r="A581" s="278"/>
      <c r="B581" s="277"/>
      <c r="C581" s="278"/>
    </row>
    <row r="582" spans="1:3" ht="14.5">
      <c r="A582" s="278"/>
      <c r="B582" s="277"/>
      <c r="C582" s="278"/>
    </row>
    <row r="583" spans="1:3" ht="14.5">
      <c r="A583" s="278"/>
      <c r="B583" s="277"/>
      <c r="C583" s="278"/>
    </row>
    <row r="584" spans="1:3" ht="14.5">
      <c r="A584" s="278"/>
      <c r="B584" s="277"/>
      <c r="C584" s="278"/>
    </row>
    <row r="585" spans="1:3" ht="14.5">
      <c r="A585" s="278"/>
      <c r="B585" s="277"/>
      <c r="C585" s="278"/>
    </row>
    <row r="586" spans="1:3" ht="14.5">
      <c r="A586" s="278"/>
      <c r="B586" s="277"/>
      <c r="C586" s="278"/>
    </row>
    <row r="587" spans="1:3" ht="14.5">
      <c r="A587" s="278"/>
      <c r="B587" s="277"/>
      <c r="C587" s="278"/>
    </row>
    <row r="588" spans="1:3" ht="14.5">
      <c r="A588" s="278"/>
      <c r="B588" s="277"/>
      <c r="C588" s="278"/>
    </row>
    <row r="589" spans="1:3" ht="14.5">
      <c r="A589" s="278"/>
      <c r="B589" s="277"/>
      <c r="C589" s="278"/>
    </row>
    <row r="590" spans="1:3" ht="14.5">
      <c r="A590" s="278"/>
      <c r="B590" s="277"/>
      <c r="C590" s="278"/>
    </row>
    <row r="591" spans="1:3" ht="14.5">
      <c r="A591" s="278"/>
      <c r="B591" s="277"/>
      <c r="C591" s="278"/>
    </row>
    <row r="592" spans="1:3" ht="14.5">
      <c r="A592" s="278"/>
      <c r="B592" s="277"/>
      <c r="C592" s="278"/>
    </row>
    <row r="593" spans="1:3" ht="14.5">
      <c r="A593" s="278"/>
      <c r="B593" s="277"/>
      <c r="C593" s="278"/>
    </row>
    <row r="594" spans="1:3" ht="14.5">
      <c r="A594" s="278"/>
      <c r="B594" s="277"/>
      <c r="C594" s="278"/>
    </row>
    <row r="595" spans="1:3" ht="14.5">
      <c r="A595" s="278"/>
      <c r="B595" s="277"/>
      <c r="C595" s="278"/>
    </row>
    <row r="596" spans="1:3" ht="14.5">
      <c r="A596" s="278"/>
      <c r="B596" s="277"/>
      <c r="C596" s="278"/>
    </row>
    <row r="597" spans="1:3" ht="14.5">
      <c r="A597" s="278"/>
      <c r="B597" s="277"/>
      <c r="C597" s="278"/>
    </row>
    <row r="598" spans="1:3" ht="14.5">
      <c r="A598" s="278"/>
      <c r="B598" s="277"/>
      <c r="C598" s="278"/>
    </row>
    <row r="599" spans="1:3" ht="14.5">
      <c r="A599" s="278"/>
      <c r="B599" s="277"/>
      <c r="C599" s="278"/>
    </row>
    <row r="600" spans="1:3" ht="14.5">
      <c r="A600" s="278"/>
      <c r="B600" s="277"/>
      <c r="C600" s="278"/>
    </row>
    <row r="601" spans="1:3" ht="14.5">
      <c r="A601" s="278"/>
      <c r="B601" s="277"/>
      <c r="C601" s="278"/>
    </row>
    <row r="602" spans="1:3" ht="14.5">
      <c r="A602" s="278"/>
      <c r="B602" s="277"/>
      <c r="C602" s="278"/>
    </row>
    <row r="603" spans="1:3" ht="14.5">
      <c r="A603" s="278"/>
      <c r="B603" s="277"/>
      <c r="C603" s="278"/>
    </row>
    <row r="604" spans="1:3" ht="14.5">
      <c r="A604" s="278"/>
      <c r="B604" s="277"/>
      <c r="C604" s="278"/>
    </row>
    <row r="605" spans="1:3" ht="14.5">
      <c r="A605" s="278"/>
      <c r="B605" s="277"/>
      <c r="C605" s="278"/>
    </row>
    <row r="606" spans="1:3" ht="14.5">
      <c r="A606" s="278"/>
      <c r="B606" s="277"/>
      <c r="C606" s="278"/>
    </row>
    <row r="607" spans="1:3" ht="14.5">
      <c r="A607" s="278"/>
      <c r="B607" s="277"/>
      <c r="C607" s="278"/>
    </row>
    <row r="608" spans="1:3" ht="14.5">
      <c r="A608" s="278"/>
      <c r="B608" s="277"/>
      <c r="C608" s="278"/>
    </row>
    <row r="609" spans="1:3" ht="14.5">
      <c r="A609" s="278"/>
      <c r="B609" s="277"/>
      <c r="C609" s="278"/>
    </row>
    <row r="610" spans="1:3" ht="14.5">
      <c r="A610" s="278"/>
      <c r="B610" s="277"/>
      <c r="C610" s="278"/>
    </row>
    <row r="611" spans="1:3" ht="14.5">
      <c r="A611" s="278"/>
      <c r="B611" s="277"/>
      <c r="C611" s="278"/>
    </row>
    <row r="612" spans="1:3" ht="14.5">
      <c r="A612" s="278"/>
      <c r="B612" s="277"/>
      <c r="C612" s="278"/>
    </row>
    <row r="613" spans="1:3" ht="14.5">
      <c r="A613" s="278"/>
      <c r="B613" s="277"/>
      <c r="C613" s="278"/>
    </row>
    <row r="614" spans="1:3" ht="14.5">
      <c r="A614" s="278"/>
      <c r="B614" s="277"/>
      <c r="C614" s="278"/>
    </row>
    <row r="615" spans="1:3" ht="14.5">
      <c r="A615" s="278"/>
      <c r="B615" s="277"/>
      <c r="C615" s="278"/>
    </row>
    <row r="616" spans="1:3" ht="14.5">
      <c r="A616" s="278"/>
      <c r="B616" s="277"/>
      <c r="C616" s="278"/>
    </row>
    <row r="617" spans="1:3" ht="14.5">
      <c r="A617" s="278"/>
      <c r="B617" s="277"/>
      <c r="C617" s="278"/>
    </row>
    <row r="618" spans="1:3" ht="14.5">
      <c r="A618" s="278"/>
      <c r="B618" s="277"/>
      <c r="C618" s="278"/>
    </row>
    <row r="619" spans="1:3" ht="14.5">
      <c r="A619" s="278"/>
      <c r="B619" s="277"/>
      <c r="C619" s="278"/>
    </row>
    <row r="620" spans="1:3" ht="14.5">
      <c r="A620" s="278"/>
      <c r="B620" s="277"/>
      <c r="C620" s="278"/>
    </row>
    <row r="621" spans="1:3" ht="14.5">
      <c r="A621" s="278"/>
      <c r="B621" s="277"/>
      <c r="C621" s="278"/>
    </row>
    <row r="622" spans="1:3" ht="14.5">
      <c r="A622" s="278"/>
      <c r="B622" s="277"/>
      <c r="C622" s="278"/>
    </row>
    <row r="623" spans="1:3" ht="14.5">
      <c r="A623" s="278"/>
      <c r="B623" s="277"/>
      <c r="C623" s="278"/>
    </row>
    <row r="624" spans="1:3" ht="14.5">
      <c r="A624" s="278"/>
      <c r="B624" s="277"/>
      <c r="C624" s="278"/>
    </row>
    <row r="625" spans="1:3" ht="14.5">
      <c r="A625" s="278"/>
      <c r="B625" s="277"/>
      <c r="C625" s="278"/>
    </row>
    <row r="626" spans="1:3" ht="14.5">
      <c r="A626" s="278"/>
      <c r="B626" s="277"/>
      <c r="C626" s="278"/>
    </row>
    <row r="627" spans="1:3" ht="14.5">
      <c r="A627" s="278"/>
      <c r="B627" s="277"/>
      <c r="C627" s="278"/>
    </row>
    <row r="628" spans="1:3" ht="14.5">
      <c r="A628" s="278"/>
      <c r="B628" s="277"/>
      <c r="C628" s="278"/>
    </row>
    <row r="629" spans="1:3" ht="14.5">
      <c r="A629" s="278"/>
      <c r="B629" s="277"/>
      <c r="C629" s="278"/>
    </row>
    <row r="630" spans="1:3" ht="14.5">
      <c r="A630" s="278"/>
      <c r="B630" s="277"/>
      <c r="C630" s="278"/>
    </row>
    <row r="631" spans="1:3" ht="14.5">
      <c r="A631" s="278"/>
      <c r="B631" s="277"/>
      <c r="C631" s="278"/>
    </row>
    <row r="632" spans="1:3" ht="14.5">
      <c r="A632" s="278"/>
      <c r="B632" s="277"/>
      <c r="C632" s="278"/>
    </row>
    <row r="633" spans="1:3" ht="14.5">
      <c r="A633" s="278"/>
      <c r="B633" s="277"/>
      <c r="C633" s="278"/>
    </row>
    <row r="634" spans="1:3" ht="14.5">
      <c r="A634" s="278"/>
      <c r="B634" s="277"/>
      <c r="C634" s="278"/>
    </row>
    <row r="635" spans="1:3" ht="14.5">
      <c r="A635" s="278"/>
      <c r="B635" s="277"/>
      <c r="C635" s="278"/>
    </row>
    <row r="636" spans="1:3" ht="14.5">
      <c r="A636" s="278"/>
      <c r="B636" s="277"/>
      <c r="C636" s="278"/>
    </row>
    <row r="637" spans="1:3" ht="14.5">
      <c r="A637" s="278"/>
      <c r="B637" s="277"/>
      <c r="C637" s="278"/>
    </row>
    <row r="638" spans="1:3" ht="14.5">
      <c r="A638" s="278"/>
      <c r="B638" s="277"/>
      <c r="C638" s="278"/>
    </row>
    <row r="639" spans="1:3" ht="14.5">
      <c r="A639" s="278"/>
      <c r="B639" s="277"/>
      <c r="C639" s="278"/>
    </row>
    <row r="640" spans="1:3" ht="14.5">
      <c r="A640" s="278"/>
      <c r="B640" s="277"/>
      <c r="C640" s="278"/>
    </row>
    <row r="641" spans="1:3" ht="14.5">
      <c r="A641" s="278"/>
      <c r="B641" s="277"/>
      <c r="C641" s="278"/>
    </row>
    <row r="642" spans="1:3" ht="14.5">
      <c r="A642" s="278"/>
      <c r="B642" s="277"/>
      <c r="C642" s="278"/>
    </row>
    <row r="643" spans="1:3" ht="14.5">
      <c r="A643" s="278"/>
      <c r="B643" s="277"/>
      <c r="C643" s="278"/>
    </row>
    <row r="644" spans="1:3" ht="14.5">
      <c r="A644" s="278"/>
      <c r="B644" s="277"/>
      <c r="C644" s="278"/>
    </row>
    <row r="645" spans="1:3" ht="14.5">
      <c r="A645" s="278"/>
      <c r="B645" s="277"/>
      <c r="C645" s="278"/>
    </row>
    <row r="646" spans="1:3" ht="14.5">
      <c r="A646" s="278"/>
      <c r="B646" s="277"/>
      <c r="C646" s="278"/>
    </row>
    <row r="647" spans="1:3" ht="14.5">
      <c r="A647" s="278"/>
      <c r="B647" s="277"/>
      <c r="C647" s="278"/>
    </row>
    <row r="648" spans="1:3" ht="14.5">
      <c r="A648" s="278"/>
      <c r="B648" s="277"/>
      <c r="C648" s="278"/>
    </row>
    <row r="649" spans="1:3" ht="14.5">
      <c r="A649" s="278"/>
      <c r="B649" s="277"/>
      <c r="C649" s="278"/>
    </row>
    <row r="650" spans="1:3" ht="14.5">
      <c r="A650" s="278"/>
      <c r="B650" s="277"/>
      <c r="C650" s="278"/>
    </row>
    <row r="651" spans="1:3" ht="14.5">
      <c r="A651" s="278"/>
      <c r="B651" s="277"/>
      <c r="C651" s="278"/>
    </row>
    <row r="652" spans="1:3" ht="14.5">
      <c r="A652" s="278"/>
      <c r="B652" s="277"/>
      <c r="C652" s="278"/>
    </row>
    <row r="653" spans="1:3" ht="14.5">
      <c r="A653" s="278"/>
      <c r="B653" s="277"/>
      <c r="C653" s="278"/>
    </row>
    <row r="654" spans="1:3" ht="14.5">
      <c r="A654" s="278"/>
      <c r="B654" s="277"/>
      <c r="C654" s="278"/>
    </row>
    <row r="655" spans="1:3" ht="14.5">
      <c r="A655" s="278"/>
      <c r="B655" s="277"/>
      <c r="C655" s="278"/>
    </row>
    <row r="656" spans="1:3" ht="14.5">
      <c r="A656" s="278"/>
      <c r="B656" s="277"/>
      <c r="C656" s="278"/>
    </row>
    <row r="657" spans="1:3" ht="14.5">
      <c r="A657" s="278"/>
      <c r="B657" s="277"/>
      <c r="C657" s="278"/>
    </row>
    <row r="658" spans="1:3" ht="14.5">
      <c r="A658" s="278"/>
      <c r="B658" s="277"/>
      <c r="C658" s="278"/>
    </row>
    <row r="659" spans="1:3" ht="14.5">
      <c r="A659" s="278"/>
      <c r="B659" s="277"/>
      <c r="C659" s="278"/>
    </row>
    <row r="660" spans="1:3" ht="14.5">
      <c r="A660" s="278"/>
      <c r="B660" s="277"/>
      <c r="C660" s="278"/>
    </row>
    <row r="661" spans="1:3" ht="14.5">
      <c r="A661" s="278"/>
      <c r="B661" s="277"/>
      <c r="C661" s="278"/>
    </row>
    <row r="662" spans="1:3" ht="14.5">
      <c r="A662" s="278"/>
      <c r="B662" s="277"/>
      <c r="C662" s="278"/>
    </row>
    <row r="663" spans="1:3" ht="14.5">
      <c r="A663" s="278"/>
      <c r="B663" s="277"/>
      <c r="C663" s="278"/>
    </row>
    <row r="664" spans="1:3" ht="14.5">
      <c r="A664" s="278"/>
      <c r="B664" s="277"/>
      <c r="C664" s="278"/>
    </row>
    <row r="665" spans="1:3" ht="14.5">
      <c r="A665" s="278"/>
      <c r="B665" s="277"/>
      <c r="C665" s="278"/>
    </row>
    <row r="666" spans="1:3" ht="14.5">
      <c r="A666" s="278"/>
      <c r="B666" s="277"/>
      <c r="C666" s="278"/>
    </row>
    <row r="667" spans="1:3" ht="14.5">
      <c r="A667" s="278"/>
      <c r="B667" s="277"/>
      <c r="C667" s="278"/>
    </row>
    <row r="668" spans="1:3" ht="14.5">
      <c r="A668" s="278"/>
      <c r="B668" s="277"/>
      <c r="C668" s="278"/>
    </row>
    <row r="669" spans="1:3" ht="14.5">
      <c r="A669" s="278"/>
      <c r="B669" s="277"/>
      <c r="C669" s="278"/>
    </row>
    <row r="670" spans="1:3" ht="14.5">
      <c r="A670" s="278"/>
      <c r="B670" s="277"/>
      <c r="C670" s="278"/>
    </row>
    <row r="671" spans="1:3" ht="14.5">
      <c r="A671" s="278"/>
      <c r="B671" s="277"/>
      <c r="C671" s="278"/>
    </row>
    <row r="672" spans="1:3" ht="14.5">
      <c r="A672" s="278"/>
      <c r="B672" s="277"/>
      <c r="C672" s="278"/>
    </row>
    <row r="673" spans="1:3" ht="14.5">
      <c r="A673" s="278"/>
      <c r="B673" s="277"/>
      <c r="C673" s="278"/>
    </row>
    <row r="674" spans="1:3" ht="14.5">
      <c r="A674" s="278"/>
      <c r="B674" s="277"/>
      <c r="C674" s="278"/>
    </row>
    <row r="675" spans="1:3" ht="14.5">
      <c r="A675" s="278"/>
      <c r="B675" s="277"/>
      <c r="C675" s="278"/>
    </row>
    <row r="676" spans="1:3" ht="14.5">
      <c r="A676" s="278"/>
      <c r="B676" s="277"/>
      <c r="C676" s="278"/>
    </row>
    <row r="677" spans="1:3" ht="14.5">
      <c r="A677" s="278"/>
      <c r="B677" s="277"/>
      <c r="C677" s="278"/>
    </row>
    <row r="678" spans="1:3" ht="14.5">
      <c r="A678" s="278"/>
      <c r="B678" s="277"/>
      <c r="C678" s="278"/>
    </row>
    <row r="679" spans="1:3" ht="14.5">
      <c r="A679" s="278"/>
      <c r="B679" s="277"/>
      <c r="C679" s="278"/>
    </row>
    <row r="680" spans="1:3" ht="14.5">
      <c r="A680" s="278"/>
      <c r="B680" s="277"/>
      <c r="C680" s="278"/>
    </row>
    <row r="681" spans="1:3" ht="14.5">
      <c r="A681" s="278"/>
      <c r="B681" s="277"/>
      <c r="C681" s="278"/>
    </row>
    <row r="682" spans="1:3" ht="14.5">
      <c r="A682" s="278"/>
      <c r="B682" s="277"/>
      <c r="C682" s="278"/>
    </row>
    <row r="683" spans="1:3" ht="14.5">
      <c r="A683" s="278"/>
      <c r="B683" s="277"/>
      <c r="C683" s="278"/>
    </row>
    <row r="684" spans="1:3" ht="14.5">
      <c r="A684" s="278"/>
      <c r="B684" s="277"/>
      <c r="C684" s="278"/>
    </row>
    <row r="685" spans="1:3" ht="14.5">
      <c r="A685" s="278"/>
      <c r="B685" s="277"/>
      <c r="C685" s="278"/>
    </row>
    <row r="686" spans="1:3" ht="14.5">
      <c r="A686" s="278"/>
      <c r="B686" s="277"/>
      <c r="C686" s="278"/>
    </row>
    <row r="687" spans="1:3" ht="14.5">
      <c r="A687" s="278"/>
      <c r="B687" s="277"/>
      <c r="C687" s="278"/>
    </row>
    <row r="688" spans="1:3" ht="14.5">
      <c r="A688" s="278"/>
      <c r="B688" s="277"/>
      <c r="C688" s="278"/>
    </row>
    <row r="689" spans="1:3" ht="14.5">
      <c r="A689" s="278"/>
      <c r="B689" s="277"/>
      <c r="C689" s="278"/>
    </row>
    <row r="690" spans="1:3" ht="14.5">
      <c r="A690" s="278"/>
      <c r="B690" s="277"/>
      <c r="C690" s="278"/>
    </row>
    <row r="691" spans="1:3" ht="14.5">
      <c r="A691" s="278"/>
      <c r="B691" s="277"/>
      <c r="C691" s="278"/>
    </row>
    <row r="692" spans="1:3" ht="14.5">
      <c r="A692" s="278"/>
      <c r="B692" s="277"/>
      <c r="C692" s="278"/>
    </row>
    <row r="693" spans="1:3" ht="14.5">
      <c r="A693" s="278"/>
      <c r="B693" s="277"/>
      <c r="C693" s="278"/>
    </row>
    <row r="694" spans="1:3" ht="14.5">
      <c r="A694" s="278"/>
      <c r="B694" s="277"/>
      <c r="C694" s="278"/>
    </row>
    <row r="695" spans="1:3" ht="14.5">
      <c r="A695" s="278"/>
      <c r="B695" s="277"/>
      <c r="C695" s="278"/>
    </row>
    <row r="696" spans="1:3" ht="14.5">
      <c r="A696" s="278"/>
      <c r="B696" s="277"/>
      <c r="C696" s="278"/>
    </row>
    <row r="697" spans="1:3" ht="14.5">
      <c r="A697" s="278"/>
      <c r="B697" s="277"/>
      <c r="C697" s="278"/>
    </row>
    <row r="698" spans="1:3" ht="14.5">
      <c r="A698" s="278"/>
      <c r="B698" s="277"/>
      <c r="C698" s="278"/>
    </row>
    <row r="699" spans="1:3" ht="14.5">
      <c r="A699" s="278"/>
      <c r="B699" s="277"/>
      <c r="C699" s="278"/>
    </row>
    <row r="700" spans="1:3" ht="14.5">
      <c r="A700" s="278"/>
      <c r="B700" s="277"/>
      <c r="C700" s="278"/>
    </row>
    <row r="701" spans="1:3" ht="14.5">
      <c r="A701" s="278"/>
      <c r="B701" s="277"/>
      <c r="C701" s="278"/>
    </row>
    <row r="702" spans="1:3" ht="14.5">
      <c r="A702" s="278"/>
      <c r="B702" s="277"/>
      <c r="C702" s="278"/>
    </row>
    <row r="703" spans="1:3" ht="14.5">
      <c r="A703" s="278"/>
      <c r="B703" s="277"/>
      <c r="C703" s="278"/>
    </row>
    <row r="704" spans="1:3" ht="14.5">
      <c r="A704" s="278"/>
      <c r="B704" s="277"/>
      <c r="C704" s="278"/>
    </row>
    <row r="705" spans="1:3" ht="14.5">
      <c r="A705" s="278"/>
      <c r="B705" s="277"/>
      <c r="C705" s="278"/>
    </row>
    <row r="706" spans="1:3" ht="14.5">
      <c r="A706" s="278"/>
      <c r="B706" s="277"/>
      <c r="C706" s="278"/>
    </row>
    <row r="707" spans="1:3" ht="14.5">
      <c r="A707" s="278"/>
      <c r="B707" s="277"/>
      <c r="C707" s="278"/>
    </row>
    <row r="708" spans="1:3" ht="14.5">
      <c r="A708" s="278"/>
      <c r="B708" s="277"/>
      <c r="C708" s="278"/>
    </row>
    <row r="709" spans="1:3" ht="14.5">
      <c r="A709" s="278"/>
      <c r="B709" s="277"/>
      <c r="C709" s="278"/>
    </row>
    <row r="710" spans="1:3" ht="14.5">
      <c r="A710" s="278"/>
      <c r="B710" s="277"/>
      <c r="C710" s="278"/>
    </row>
    <row r="711" spans="1:3" ht="14.5">
      <c r="A711" s="278"/>
      <c r="B711" s="277"/>
      <c r="C711" s="278"/>
    </row>
    <row r="712" spans="1:3" ht="14.5">
      <c r="A712" s="278"/>
      <c r="B712" s="277"/>
      <c r="C712" s="278"/>
    </row>
    <row r="713" spans="1:3" ht="14.5">
      <c r="A713" s="278"/>
      <c r="B713" s="277"/>
      <c r="C713" s="278"/>
    </row>
    <row r="714" spans="1:3" ht="14.5">
      <c r="A714" s="278"/>
      <c r="B714" s="277"/>
      <c r="C714" s="278"/>
    </row>
    <row r="715" spans="1:3" ht="14.5">
      <c r="A715" s="278"/>
      <c r="B715" s="277"/>
      <c r="C715" s="278"/>
    </row>
    <row r="716" spans="1:3" ht="14.5">
      <c r="A716" s="278"/>
      <c r="B716" s="277"/>
      <c r="C716" s="278"/>
    </row>
    <row r="717" spans="1:3" ht="14.5">
      <c r="A717" s="278"/>
      <c r="B717" s="277"/>
      <c r="C717" s="278"/>
    </row>
    <row r="718" spans="1:3" ht="14.5">
      <c r="A718" s="278"/>
      <c r="B718" s="277"/>
      <c r="C718" s="278"/>
    </row>
    <row r="719" spans="1:3" ht="14.5">
      <c r="A719" s="278"/>
      <c r="B719" s="277"/>
      <c r="C719" s="278"/>
    </row>
    <row r="720" spans="1:3" ht="14.5">
      <c r="A720" s="278"/>
      <c r="B720" s="277"/>
      <c r="C720" s="278"/>
    </row>
    <row r="721" spans="1:3" ht="14.5">
      <c r="A721" s="278"/>
      <c r="B721" s="277"/>
      <c r="C721" s="278"/>
    </row>
    <row r="722" spans="1:3" ht="14.5">
      <c r="A722" s="278"/>
      <c r="B722" s="277"/>
      <c r="C722" s="278"/>
    </row>
    <row r="723" spans="1:3" ht="14.5">
      <c r="A723" s="278"/>
      <c r="B723" s="277"/>
      <c r="C723" s="278"/>
    </row>
    <row r="724" spans="1:3" ht="14.5">
      <c r="A724" s="278"/>
      <c r="B724" s="277"/>
      <c r="C724" s="278"/>
    </row>
    <row r="725" spans="1:3" ht="14.5">
      <c r="A725" s="278"/>
      <c r="B725" s="277"/>
      <c r="C725" s="278"/>
    </row>
    <row r="726" spans="1:3" ht="14.5">
      <c r="A726" s="278"/>
      <c r="B726" s="277"/>
      <c r="C726" s="278"/>
    </row>
    <row r="727" spans="1:3" ht="14.5">
      <c r="A727" s="278"/>
      <c r="B727" s="277"/>
      <c r="C727" s="278"/>
    </row>
    <row r="728" spans="1:3" ht="14.5">
      <c r="A728" s="278"/>
      <c r="B728" s="277"/>
      <c r="C728" s="278"/>
    </row>
    <row r="729" spans="1:3" ht="14.5">
      <c r="A729" s="278"/>
      <c r="B729" s="277"/>
      <c r="C729" s="278"/>
    </row>
    <row r="730" spans="1:3" ht="14.5">
      <c r="A730" s="278"/>
      <c r="B730" s="277"/>
      <c r="C730" s="278"/>
    </row>
    <row r="731" spans="1:3" ht="14.5">
      <c r="A731" s="278"/>
      <c r="B731" s="277"/>
      <c r="C731" s="278"/>
    </row>
    <row r="732" spans="1:3" ht="14.5">
      <c r="A732" s="278"/>
      <c r="B732" s="277"/>
      <c r="C732" s="278"/>
    </row>
    <row r="733" spans="1:3" ht="14.5">
      <c r="A733" s="278"/>
      <c r="B733" s="277"/>
      <c r="C733" s="278"/>
    </row>
    <row r="734" spans="1:3" ht="14.5">
      <c r="A734" s="278"/>
      <c r="B734" s="277"/>
      <c r="C734" s="278"/>
    </row>
    <row r="735" spans="1:3" ht="14.5">
      <c r="A735" s="278"/>
      <c r="B735" s="277"/>
      <c r="C735" s="278"/>
    </row>
    <row r="736" spans="1:3" ht="14.5">
      <c r="A736" s="278"/>
      <c r="B736" s="277"/>
      <c r="C736" s="278"/>
    </row>
    <row r="737" spans="1:3" ht="14.5">
      <c r="A737" s="278"/>
      <c r="B737" s="277"/>
      <c r="C737" s="278"/>
    </row>
    <row r="738" spans="1:3" ht="14.5">
      <c r="A738" s="278"/>
      <c r="B738" s="277"/>
      <c r="C738" s="278"/>
    </row>
    <row r="739" spans="1:3" ht="14.5">
      <c r="A739" s="278"/>
      <c r="B739" s="277"/>
      <c r="C739" s="278"/>
    </row>
    <row r="740" spans="1:3" ht="14.5">
      <c r="A740" s="278"/>
      <c r="B740" s="277"/>
      <c r="C740" s="278"/>
    </row>
    <row r="741" spans="1:3" ht="14.5">
      <c r="A741" s="278"/>
      <c r="B741" s="277"/>
      <c r="C741" s="278"/>
    </row>
    <row r="742" spans="1:3" ht="14.5">
      <c r="A742" s="278"/>
      <c r="B742" s="277"/>
      <c r="C742" s="278"/>
    </row>
    <row r="743" spans="1:3" ht="14.5">
      <c r="A743" s="278"/>
      <c r="B743" s="277"/>
      <c r="C743" s="278"/>
    </row>
    <row r="744" spans="1:3" ht="14.5">
      <c r="A744" s="278"/>
      <c r="B744" s="277"/>
      <c r="C744" s="278"/>
    </row>
    <row r="745" spans="1:3" ht="14.5">
      <c r="A745" s="278"/>
      <c r="B745" s="277"/>
      <c r="C745" s="278"/>
    </row>
    <row r="746" spans="1:3" ht="14.5">
      <c r="A746" s="278"/>
      <c r="B746" s="277"/>
      <c r="C746" s="278"/>
    </row>
    <row r="747" spans="1:3" ht="14.5">
      <c r="A747" s="278"/>
      <c r="B747" s="277"/>
      <c r="C747" s="278"/>
    </row>
    <row r="748" spans="1:3" ht="14.5">
      <c r="A748" s="278"/>
      <c r="B748" s="277"/>
      <c r="C748" s="278"/>
    </row>
    <row r="749" spans="1:3" ht="14.5">
      <c r="A749" s="278"/>
      <c r="B749" s="277"/>
      <c r="C749" s="278"/>
    </row>
    <row r="750" spans="1:3" ht="14.5">
      <c r="A750" s="278"/>
      <c r="B750" s="277"/>
      <c r="C750" s="278"/>
    </row>
    <row r="751" spans="1:3" ht="14.5">
      <c r="A751" s="278"/>
      <c r="B751" s="277"/>
      <c r="C751" s="278"/>
    </row>
    <row r="752" spans="1:3" ht="14.5">
      <c r="A752" s="278"/>
      <c r="B752" s="277"/>
      <c r="C752" s="278"/>
    </row>
    <row r="753" spans="1:3" ht="14.5">
      <c r="A753" s="278"/>
      <c r="B753" s="277"/>
      <c r="C753" s="278"/>
    </row>
    <row r="754" spans="1:3" ht="14.5">
      <c r="A754" s="278"/>
      <c r="B754" s="277"/>
      <c r="C754" s="278"/>
    </row>
    <row r="755" spans="1:3" ht="14.5">
      <c r="A755" s="278"/>
      <c r="B755" s="277"/>
      <c r="C755" s="278"/>
    </row>
    <row r="756" spans="1:3" ht="14.5">
      <c r="A756" s="278"/>
      <c r="B756" s="277"/>
      <c r="C756" s="278"/>
    </row>
    <row r="757" spans="1:3" ht="14.5">
      <c r="A757" s="278"/>
      <c r="B757" s="277"/>
      <c r="C757" s="278"/>
    </row>
    <row r="758" spans="1:3" ht="14.5">
      <c r="A758" s="278"/>
      <c r="B758" s="277"/>
      <c r="C758" s="278"/>
    </row>
    <row r="759" spans="1:3" ht="14.5">
      <c r="A759" s="278"/>
      <c r="B759" s="277"/>
      <c r="C759" s="278"/>
    </row>
    <row r="760" spans="1:3" ht="14.5">
      <c r="A760" s="278"/>
      <c r="B760" s="277"/>
      <c r="C760" s="278"/>
    </row>
    <row r="761" spans="1:3" ht="14.5">
      <c r="A761" s="278"/>
      <c r="B761" s="277"/>
      <c r="C761" s="278"/>
    </row>
    <row r="762" spans="1:3" ht="14.5">
      <c r="A762" s="278"/>
      <c r="B762" s="277"/>
      <c r="C762" s="278"/>
    </row>
    <row r="763" spans="1:3" ht="14.5">
      <c r="A763" s="278"/>
      <c r="B763" s="277"/>
      <c r="C763" s="278"/>
    </row>
    <row r="764" spans="1:3" ht="14.5">
      <c r="A764" s="278"/>
      <c r="B764" s="277"/>
      <c r="C764" s="278"/>
    </row>
    <row r="765" spans="1:3" ht="14.5">
      <c r="A765" s="278"/>
      <c r="B765" s="277"/>
      <c r="C765" s="278"/>
    </row>
    <row r="766" spans="1:3" ht="14.5">
      <c r="A766" s="278"/>
      <c r="B766" s="277"/>
      <c r="C766" s="278"/>
    </row>
    <row r="767" spans="1:3" ht="14.5">
      <c r="A767" s="278"/>
      <c r="B767" s="277"/>
      <c r="C767" s="278"/>
    </row>
    <row r="768" spans="1:3" ht="14.5">
      <c r="A768" s="278"/>
      <c r="B768" s="277"/>
      <c r="C768" s="278"/>
    </row>
    <row r="769" spans="1:3" ht="14.5">
      <c r="A769" s="278"/>
      <c r="B769" s="277"/>
      <c r="C769" s="278"/>
    </row>
    <row r="770" spans="1:3" ht="14.5">
      <c r="A770" s="278"/>
      <c r="B770" s="277"/>
      <c r="C770" s="278"/>
    </row>
    <row r="771" spans="1:3" ht="14.5">
      <c r="A771" s="278"/>
      <c r="B771" s="277"/>
      <c r="C771" s="278"/>
    </row>
    <row r="772" spans="1:3" ht="14.5">
      <c r="A772" s="278"/>
      <c r="B772" s="277"/>
      <c r="C772" s="278"/>
    </row>
    <row r="773" spans="1:3" ht="14.5">
      <c r="A773" s="278"/>
      <c r="B773" s="277"/>
      <c r="C773" s="278"/>
    </row>
    <row r="774" spans="1:3" ht="14.5">
      <c r="A774" s="278"/>
      <c r="B774" s="277"/>
      <c r="C774" s="278"/>
    </row>
    <row r="775" spans="1:3" ht="14.5">
      <c r="A775" s="278"/>
      <c r="B775" s="277"/>
      <c r="C775" s="278"/>
    </row>
    <row r="776" spans="1:3" ht="14.5">
      <c r="A776" s="278"/>
      <c r="B776" s="277"/>
      <c r="C776" s="278"/>
    </row>
    <row r="777" spans="1:3" ht="14.5">
      <c r="A777" s="278"/>
      <c r="B777" s="277"/>
      <c r="C777" s="278"/>
    </row>
    <row r="778" spans="1:3" ht="14.5">
      <c r="A778" s="278"/>
      <c r="B778" s="277"/>
      <c r="C778" s="278"/>
    </row>
    <row r="779" spans="1:3" ht="14.5">
      <c r="A779" s="278"/>
      <c r="B779" s="277"/>
      <c r="C779" s="278"/>
    </row>
    <row r="780" spans="1:3" ht="14.5">
      <c r="A780" s="278"/>
      <c r="B780" s="277"/>
      <c r="C780" s="278"/>
    </row>
    <row r="781" spans="1:3" ht="14.5">
      <c r="A781" s="278"/>
      <c r="B781" s="277"/>
      <c r="C781" s="278"/>
    </row>
    <row r="782" spans="1:3" ht="14.5">
      <c r="A782" s="278"/>
      <c r="B782" s="277"/>
      <c r="C782" s="278"/>
    </row>
    <row r="783" spans="1:3" ht="14.5">
      <c r="A783" s="278"/>
      <c r="B783" s="277"/>
      <c r="C783" s="278"/>
    </row>
    <row r="784" spans="1:3" ht="14.5">
      <c r="A784" s="278"/>
      <c r="B784" s="277"/>
      <c r="C784" s="278"/>
    </row>
    <row r="785" spans="1:3" ht="14.5">
      <c r="A785" s="278"/>
      <c r="B785" s="277"/>
      <c r="C785" s="278"/>
    </row>
    <row r="786" spans="1:3" ht="14.5">
      <c r="A786" s="278"/>
      <c r="B786" s="277"/>
      <c r="C786" s="278"/>
    </row>
    <row r="787" spans="1:3" ht="14.5">
      <c r="A787" s="278"/>
      <c r="B787" s="277"/>
      <c r="C787" s="278"/>
    </row>
    <row r="788" spans="1:3" ht="14.5">
      <c r="A788" s="278"/>
      <c r="B788" s="277"/>
      <c r="C788" s="278"/>
    </row>
    <row r="789" spans="1:3" ht="14.5">
      <c r="A789" s="278"/>
      <c r="B789" s="277"/>
      <c r="C789" s="278"/>
    </row>
    <row r="790" spans="1:3" ht="14.5">
      <c r="A790" s="278"/>
      <c r="B790" s="277"/>
      <c r="C790" s="278"/>
    </row>
    <row r="791" spans="1:3" ht="14.5">
      <c r="A791" s="278"/>
      <c r="B791" s="277"/>
      <c r="C791" s="278"/>
    </row>
    <row r="792" spans="1:3" ht="14.5">
      <c r="A792" s="278"/>
      <c r="B792" s="277"/>
      <c r="C792" s="278"/>
    </row>
    <row r="793" spans="1:3" ht="14.5">
      <c r="A793" s="278"/>
      <c r="B793" s="277"/>
      <c r="C793" s="278"/>
    </row>
    <row r="794" spans="1:3" ht="14.5">
      <c r="A794" s="278"/>
      <c r="B794" s="277"/>
      <c r="C794" s="278"/>
    </row>
    <row r="795" spans="1:3" ht="14.5">
      <c r="A795" s="278"/>
      <c r="B795" s="277"/>
      <c r="C795" s="278"/>
    </row>
    <row r="796" spans="1:3" ht="14.5">
      <c r="A796" s="278"/>
      <c r="B796" s="277"/>
      <c r="C796" s="278"/>
    </row>
    <row r="797" spans="1:3" ht="14.5">
      <c r="A797" s="278"/>
      <c r="B797" s="277"/>
      <c r="C797" s="278"/>
    </row>
    <row r="798" spans="1:3" ht="14.5">
      <c r="A798" s="278"/>
      <c r="B798" s="277"/>
      <c r="C798" s="278"/>
    </row>
    <row r="799" spans="1:3" ht="14.5">
      <c r="A799" s="278"/>
      <c r="B799" s="277"/>
      <c r="C799" s="278"/>
    </row>
    <row r="800" spans="1:3" ht="14.5">
      <c r="A800" s="278"/>
      <c r="B800" s="277"/>
      <c r="C800" s="278"/>
    </row>
    <row r="801" spans="1:3" ht="14.5">
      <c r="A801" s="278"/>
      <c r="B801" s="277"/>
      <c r="C801" s="278"/>
    </row>
    <row r="802" spans="1:3" ht="14.5">
      <c r="A802" s="278"/>
      <c r="B802" s="277"/>
      <c r="C802" s="278"/>
    </row>
    <row r="803" spans="1:3" ht="14.5">
      <c r="A803" s="278"/>
      <c r="B803" s="277"/>
      <c r="C803" s="278"/>
    </row>
    <row r="804" spans="1:3" ht="14.5">
      <c r="A804" s="278"/>
      <c r="B804" s="277"/>
      <c r="C804" s="278"/>
    </row>
    <row r="805" spans="1:3" ht="14.5">
      <c r="A805" s="278"/>
      <c r="B805" s="277"/>
      <c r="C805" s="278"/>
    </row>
    <row r="806" spans="1:3" ht="14.5">
      <c r="A806" s="278"/>
      <c r="B806" s="277"/>
      <c r="C806" s="278"/>
    </row>
    <row r="807" spans="1:3" ht="14.5">
      <c r="A807" s="278"/>
      <c r="B807" s="277"/>
      <c r="C807" s="278"/>
    </row>
    <row r="808" spans="1:3" ht="14.5">
      <c r="A808" s="278"/>
      <c r="B808" s="277"/>
      <c r="C808" s="278"/>
    </row>
    <row r="809" spans="1:3" ht="14.5">
      <c r="A809" s="278"/>
      <c r="B809" s="277"/>
      <c r="C809" s="278"/>
    </row>
    <row r="810" spans="1:3" ht="14.5">
      <c r="A810" s="278"/>
      <c r="B810" s="277"/>
      <c r="C810" s="278"/>
    </row>
    <row r="811" spans="1:3" ht="14.5">
      <c r="A811" s="278"/>
      <c r="B811" s="277"/>
      <c r="C811" s="278"/>
    </row>
    <row r="812" spans="1:3" ht="14.5">
      <c r="A812" s="278"/>
      <c r="B812" s="277"/>
      <c r="C812" s="278"/>
    </row>
    <row r="813" spans="1:3" ht="14.5">
      <c r="A813" s="278"/>
      <c r="B813" s="277"/>
      <c r="C813" s="278"/>
    </row>
    <row r="814" spans="1:3" ht="14.5">
      <c r="A814" s="278"/>
      <c r="B814" s="277"/>
      <c r="C814" s="278"/>
    </row>
    <row r="815" spans="1:3" ht="14.5">
      <c r="A815" s="278"/>
      <c r="B815" s="277"/>
      <c r="C815" s="278"/>
    </row>
    <row r="816" spans="1:3" ht="14.5">
      <c r="A816" s="278"/>
      <c r="B816" s="277"/>
      <c r="C816" s="278"/>
    </row>
    <row r="817" spans="1:3" ht="14.5">
      <c r="A817" s="278"/>
      <c r="B817" s="277"/>
      <c r="C817" s="278"/>
    </row>
    <row r="818" spans="1:3" ht="14.5">
      <c r="A818" s="278"/>
      <c r="B818" s="277"/>
      <c r="C818" s="278"/>
    </row>
    <row r="819" spans="1:3" ht="14.5">
      <c r="A819" s="278"/>
      <c r="B819" s="277"/>
      <c r="C819" s="278"/>
    </row>
    <row r="820" spans="1:3" ht="14.5">
      <c r="A820" s="278"/>
      <c r="B820" s="277"/>
      <c r="C820" s="278"/>
    </row>
    <row r="821" spans="1:3" ht="14.5">
      <c r="A821" s="278"/>
      <c r="B821" s="277"/>
      <c r="C821" s="278"/>
    </row>
    <row r="822" spans="1:3" ht="14.5">
      <c r="A822" s="278"/>
      <c r="B822" s="277"/>
      <c r="C822" s="278"/>
    </row>
    <row r="823" spans="1:3" ht="14.5">
      <c r="A823" s="278"/>
      <c r="B823" s="277"/>
      <c r="C823" s="278"/>
    </row>
    <row r="824" spans="1:3" ht="14.5">
      <c r="A824" s="278"/>
      <c r="B824" s="277"/>
      <c r="C824" s="278"/>
    </row>
    <row r="825" spans="1:3" ht="14.5">
      <c r="A825" s="278"/>
      <c r="B825" s="277"/>
      <c r="C825" s="278"/>
    </row>
    <row r="826" spans="1:3" ht="14.5">
      <c r="A826" s="278"/>
      <c r="B826" s="277"/>
      <c r="C826" s="278"/>
    </row>
    <row r="827" spans="1:3" ht="14.5">
      <c r="A827" s="278"/>
      <c r="B827" s="277"/>
      <c r="C827" s="278"/>
    </row>
    <row r="828" spans="1:3" ht="14.5">
      <c r="A828" s="278"/>
      <c r="B828" s="277"/>
      <c r="C828" s="278"/>
    </row>
    <row r="829" spans="1:3" ht="14.5">
      <c r="A829" s="278"/>
      <c r="B829" s="277"/>
      <c r="C829" s="278"/>
    </row>
    <row r="830" spans="1:3" ht="14.5">
      <c r="A830" s="278"/>
      <c r="B830" s="277"/>
      <c r="C830" s="278"/>
    </row>
    <row r="831" spans="1:3" ht="14.5">
      <c r="A831" s="278"/>
      <c r="B831" s="277"/>
      <c r="C831" s="278"/>
    </row>
    <row r="832" spans="1:3" ht="14.5">
      <c r="A832" s="278"/>
      <c r="B832" s="277"/>
      <c r="C832" s="278"/>
    </row>
    <row r="833" spans="1:3" ht="14.5">
      <c r="A833" s="278"/>
      <c r="B833" s="277"/>
      <c r="C833" s="278"/>
    </row>
    <row r="834" spans="1:3" ht="14.5">
      <c r="A834" s="278"/>
      <c r="B834" s="277"/>
      <c r="C834" s="278"/>
    </row>
    <row r="835" spans="1:3" ht="14.5">
      <c r="A835" s="278"/>
      <c r="B835" s="277"/>
      <c r="C835" s="278"/>
    </row>
    <row r="836" spans="1:3" ht="14.5">
      <c r="A836" s="278"/>
      <c r="B836" s="277"/>
      <c r="C836" s="278"/>
    </row>
    <row r="837" spans="1:3" ht="14.5">
      <c r="A837" s="278"/>
      <c r="B837" s="277"/>
      <c r="C837" s="278"/>
    </row>
    <row r="838" spans="1:3" ht="14.5">
      <c r="A838" s="278"/>
      <c r="B838" s="277"/>
      <c r="C838" s="278"/>
    </row>
    <row r="839" spans="1:3" ht="14.5">
      <c r="A839" s="278"/>
      <c r="B839" s="277"/>
      <c r="C839" s="278"/>
    </row>
    <row r="840" spans="1:3" ht="14.5">
      <c r="A840" s="278"/>
      <c r="B840" s="277"/>
      <c r="C840" s="278"/>
    </row>
    <row r="841" spans="1:3" ht="14.5">
      <c r="A841" s="278"/>
      <c r="B841" s="277"/>
      <c r="C841" s="278"/>
    </row>
    <row r="842" spans="1:3" ht="14.5">
      <c r="A842" s="278"/>
      <c r="B842" s="277"/>
      <c r="C842" s="278"/>
    </row>
    <row r="843" spans="1:3" ht="14.5">
      <c r="A843" s="278"/>
      <c r="B843" s="277"/>
      <c r="C843" s="278"/>
    </row>
    <row r="844" spans="1:3" ht="14.5">
      <c r="A844" s="278"/>
      <c r="B844" s="277"/>
      <c r="C844" s="278"/>
    </row>
    <row r="845" spans="1:3" ht="14.5">
      <c r="A845" s="278"/>
      <c r="B845" s="277"/>
      <c r="C845" s="278"/>
    </row>
    <row r="846" spans="1:3" ht="14.5">
      <c r="A846" s="278"/>
      <c r="B846" s="277"/>
      <c r="C846" s="278"/>
    </row>
    <row r="847" spans="1:3" ht="14.5">
      <c r="A847" s="278"/>
      <c r="B847" s="277"/>
      <c r="C847" s="278"/>
    </row>
    <row r="848" spans="1:3" ht="14.5">
      <c r="A848" s="278"/>
      <c r="B848" s="277"/>
      <c r="C848" s="278"/>
    </row>
    <row r="849" spans="1:3" ht="14.5">
      <c r="A849" s="278"/>
      <c r="B849" s="277"/>
      <c r="C849" s="278"/>
    </row>
    <row r="850" spans="1:3" ht="14.5">
      <c r="A850" s="278"/>
      <c r="B850" s="277"/>
      <c r="C850" s="278"/>
    </row>
    <row r="851" spans="1:3" ht="14.5">
      <c r="A851" s="278"/>
      <c r="B851" s="277"/>
      <c r="C851" s="278"/>
    </row>
    <row r="852" spans="1:3" ht="14.5">
      <c r="A852" s="278"/>
      <c r="B852" s="277"/>
      <c r="C852" s="278"/>
    </row>
    <row r="853" spans="1:3" ht="14.5">
      <c r="A853" s="278"/>
      <c r="B853" s="277"/>
      <c r="C853" s="278"/>
    </row>
    <row r="854" spans="1:3" ht="14.5">
      <c r="A854" s="278"/>
      <c r="B854" s="277"/>
      <c r="C854" s="278"/>
    </row>
    <row r="855" spans="1:3" ht="14.5">
      <c r="A855" s="278"/>
      <c r="B855" s="277"/>
      <c r="C855" s="278"/>
    </row>
    <row r="856" spans="1:3" ht="14.5">
      <c r="A856" s="278"/>
      <c r="B856" s="277"/>
      <c r="C856" s="278"/>
    </row>
    <row r="857" spans="1:3" ht="14.5">
      <c r="A857" s="278"/>
      <c r="B857" s="277"/>
      <c r="C857" s="278"/>
    </row>
    <row r="858" spans="1:3" ht="14.5">
      <c r="A858" s="278"/>
      <c r="B858" s="277"/>
      <c r="C858" s="278"/>
    </row>
    <row r="859" spans="1:3" ht="14.5">
      <c r="A859" s="278"/>
      <c r="B859" s="277"/>
      <c r="C859" s="278"/>
    </row>
    <row r="860" spans="1:3" ht="14.5">
      <c r="A860" s="278"/>
      <c r="B860" s="277"/>
      <c r="C860" s="278"/>
    </row>
    <row r="861" spans="1:3" ht="14.5">
      <c r="A861" s="278"/>
      <c r="B861" s="277"/>
      <c r="C861" s="278"/>
    </row>
    <row r="862" spans="1:3" ht="14.5">
      <c r="A862" s="278"/>
      <c r="B862" s="277"/>
      <c r="C862" s="278"/>
    </row>
    <row r="863" spans="1:3" ht="14.5">
      <c r="A863" s="278"/>
      <c r="B863" s="277"/>
      <c r="C863" s="278"/>
    </row>
    <row r="864" spans="1:3" ht="14.5">
      <c r="A864" s="278"/>
      <c r="B864" s="277"/>
      <c r="C864" s="278"/>
    </row>
    <row r="865" spans="1:3" ht="14.5">
      <c r="A865" s="278"/>
      <c r="B865" s="277"/>
      <c r="C865" s="278"/>
    </row>
    <row r="866" spans="1:3" ht="14.5">
      <c r="A866" s="278"/>
      <c r="B866" s="277"/>
      <c r="C866" s="278"/>
    </row>
    <row r="867" spans="1:3" ht="14.5">
      <c r="A867" s="278"/>
      <c r="B867" s="277"/>
      <c r="C867" s="278"/>
    </row>
    <row r="868" spans="1:3" ht="14.5">
      <c r="A868" s="278"/>
      <c r="B868" s="277"/>
      <c r="C868" s="278"/>
    </row>
    <row r="869" spans="1:3" ht="14.5">
      <c r="A869" s="278"/>
      <c r="B869" s="277"/>
      <c r="C869" s="278"/>
    </row>
    <row r="870" spans="1:3" ht="14.5">
      <c r="A870" s="278"/>
      <c r="B870" s="277"/>
      <c r="C870" s="278"/>
    </row>
    <row r="871" spans="1:3" ht="14.5">
      <c r="A871" s="278"/>
      <c r="B871" s="277"/>
      <c r="C871" s="278"/>
    </row>
    <row r="872" spans="1:3" ht="14.5">
      <c r="A872" s="278"/>
      <c r="B872" s="277"/>
      <c r="C872" s="278"/>
    </row>
    <row r="873" spans="1:3" ht="14.5">
      <c r="A873" s="278"/>
      <c r="B873" s="277"/>
      <c r="C873" s="278"/>
    </row>
    <row r="874" spans="1:3" ht="14.5">
      <c r="A874" s="278"/>
      <c r="B874" s="277"/>
      <c r="C874" s="278"/>
    </row>
    <row r="875" spans="1:3" ht="14.5">
      <c r="A875" s="278"/>
      <c r="B875" s="277"/>
      <c r="C875" s="278"/>
    </row>
    <row r="876" spans="1:3" ht="14.5">
      <c r="A876" s="278"/>
      <c r="B876" s="277"/>
      <c r="C876" s="278"/>
    </row>
    <row r="877" spans="1:3" ht="14.5">
      <c r="A877" s="278"/>
      <c r="B877" s="277"/>
      <c r="C877" s="278"/>
    </row>
    <row r="878" spans="1:3" ht="14.5">
      <c r="A878" s="278"/>
      <c r="B878" s="277"/>
      <c r="C878" s="278"/>
    </row>
    <row r="879" spans="1:3" ht="14.5">
      <c r="A879" s="278"/>
      <c r="B879" s="277"/>
      <c r="C879" s="278"/>
    </row>
    <row r="880" spans="1:3" ht="14.5">
      <c r="A880" s="278"/>
      <c r="B880" s="277"/>
      <c r="C880" s="278"/>
    </row>
    <row r="881" spans="1:3" ht="14.5">
      <c r="A881" s="278"/>
      <c r="B881" s="277"/>
      <c r="C881" s="278"/>
    </row>
    <row r="882" spans="1:3" ht="14.5">
      <c r="A882" s="278"/>
      <c r="B882" s="277"/>
      <c r="C882" s="278"/>
    </row>
    <row r="883" spans="1:3" ht="14.5">
      <c r="A883" s="278"/>
      <c r="B883" s="277"/>
      <c r="C883" s="278"/>
    </row>
    <row r="884" spans="1:3" ht="14.5">
      <c r="A884" s="278"/>
      <c r="B884" s="277"/>
      <c r="C884" s="278"/>
    </row>
    <row r="885" spans="1:3" ht="14.5">
      <c r="A885" s="278"/>
      <c r="B885" s="277"/>
      <c r="C885" s="278"/>
    </row>
    <row r="886" spans="1:3" ht="14.5">
      <c r="A886" s="278"/>
      <c r="B886" s="277"/>
      <c r="C886" s="278"/>
    </row>
    <row r="887" spans="1:3" ht="14.5">
      <c r="A887" s="278"/>
      <c r="B887" s="277"/>
      <c r="C887" s="278"/>
    </row>
    <row r="888" spans="1:3" ht="14.5">
      <c r="A888" s="278"/>
      <c r="B888" s="277"/>
      <c r="C888" s="278"/>
    </row>
    <row r="889" spans="1:3" ht="14.5">
      <c r="A889" s="278"/>
      <c r="B889" s="277"/>
      <c r="C889" s="278"/>
    </row>
    <row r="890" spans="1:3" ht="14.5">
      <c r="A890" s="278"/>
      <c r="B890" s="277"/>
      <c r="C890" s="278"/>
    </row>
    <row r="891" spans="1:3" ht="14.5">
      <c r="A891" s="278"/>
      <c r="B891" s="277"/>
      <c r="C891" s="278"/>
    </row>
    <row r="892" spans="1:3" ht="14.5">
      <c r="A892" s="278"/>
      <c r="B892" s="277"/>
      <c r="C892" s="278"/>
    </row>
    <row r="893" spans="1:3" ht="14.5">
      <c r="A893" s="278"/>
      <c r="B893" s="277"/>
      <c r="C893" s="278"/>
    </row>
    <row r="894" spans="1:3" ht="14.5">
      <c r="A894" s="278"/>
      <c r="B894" s="277"/>
      <c r="C894" s="278"/>
    </row>
    <row r="895" spans="1:3" ht="14.5">
      <c r="A895" s="278"/>
      <c r="B895" s="277"/>
      <c r="C895" s="278"/>
    </row>
    <row r="896" spans="1:3" ht="14.5">
      <c r="A896" s="278"/>
      <c r="B896" s="277"/>
      <c r="C896" s="278"/>
    </row>
    <row r="897" spans="1:3" ht="14.5">
      <c r="A897" s="278"/>
      <c r="B897" s="277"/>
      <c r="C897" s="278"/>
    </row>
    <row r="898" spans="1:3" ht="14.5">
      <c r="A898" s="278"/>
      <c r="B898" s="277"/>
      <c r="C898" s="278"/>
    </row>
    <row r="899" spans="1:3" ht="14.5">
      <c r="A899" s="278"/>
      <c r="B899" s="277"/>
      <c r="C899" s="278"/>
    </row>
    <row r="900" spans="1:3" ht="14.5">
      <c r="A900" s="278"/>
      <c r="B900" s="277"/>
      <c r="C900" s="278"/>
    </row>
    <row r="901" spans="1:3" ht="14.5">
      <c r="A901" s="278"/>
      <c r="B901" s="277"/>
      <c r="C901" s="278"/>
    </row>
    <row r="902" spans="1:3" ht="14.5">
      <c r="A902" s="278"/>
      <c r="B902" s="277"/>
      <c r="C902" s="278"/>
    </row>
    <row r="903" spans="1:3" ht="14.5">
      <c r="A903" s="278"/>
      <c r="B903" s="277"/>
      <c r="C903" s="278"/>
    </row>
    <row r="904" spans="1:3" ht="14.5">
      <c r="A904" s="278"/>
      <c r="B904" s="277"/>
      <c r="C904" s="278"/>
    </row>
    <row r="905" spans="1:3" ht="14.5">
      <c r="A905" s="278"/>
      <c r="B905" s="277"/>
      <c r="C905" s="278"/>
    </row>
    <row r="906" spans="1:3" ht="14.5">
      <c r="A906" s="278"/>
      <c r="B906" s="277"/>
      <c r="C906" s="278"/>
    </row>
    <row r="907" spans="1:3" ht="14.5">
      <c r="A907" s="278"/>
      <c r="B907" s="277"/>
      <c r="C907" s="278"/>
    </row>
    <row r="908" spans="1:3" ht="14.5">
      <c r="A908" s="278"/>
      <c r="B908" s="277"/>
      <c r="C908" s="278"/>
    </row>
    <row r="909" spans="1:3" ht="14.5">
      <c r="A909" s="278"/>
      <c r="B909" s="277"/>
      <c r="C909" s="278"/>
    </row>
    <row r="910" spans="1:3" ht="14.5">
      <c r="A910" s="278"/>
      <c r="B910" s="277"/>
      <c r="C910" s="278"/>
    </row>
    <row r="911" spans="1:3" ht="14.5">
      <c r="A911" s="278"/>
      <c r="B911" s="277"/>
      <c r="C911" s="278"/>
    </row>
    <row r="912" spans="1:3" ht="14.5">
      <c r="A912" s="278"/>
      <c r="B912" s="277"/>
      <c r="C912" s="278"/>
    </row>
    <row r="913" spans="1:3" ht="14.5">
      <c r="A913" s="278"/>
      <c r="B913" s="277"/>
      <c r="C913" s="278"/>
    </row>
    <row r="914" spans="1:3" ht="14.5">
      <c r="A914" s="278"/>
      <c r="B914" s="277"/>
      <c r="C914" s="278"/>
    </row>
    <row r="915" spans="1:3" ht="14.5">
      <c r="A915" s="278"/>
      <c r="B915" s="277"/>
      <c r="C915" s="278"/>
    </row>
    <row r="916" spans="1:3" ht="14.5">
      <c r="A916" s="278"/>
      <c r="B916" s="277"/>
      <c r="C916" s="278"/>
    </row>
    <row r="917" spans="1:3" ht="14.5">
      <c r="A917" s="278"/>
      <c r="B917" s="277"/>
      <c r="C917" s="278"/>
    </row>
    <row r="918" spans="1:3" ht="14.5">
      <c r="A918" s="278"/>
      <c r="B918" s="277"/>
      <c r="C918" s="278"/>
    </row>
    <row r="919" spans="1:3" ht="14.5">
      <c r="A919" s="278"/>
      <c r="B919" s="277"/>
      <c r="C919" s="278"/>
    </row>
    <row r="920" spans="1:3" ht="14.5">
      <c r="A920" s="278"/>
      <c r="B920" s="277"/>
      <c r="C920" s="278"/>
    </row>
    <row r="921" spans="1:3" ht="14.5">
      <c r="A921" s="278"/>
      <c r="B921" s="277"/>
      <c r="C921" s="278"/>
    </row>
    <row r="922" spans="1:3" ht="14.5">
      <c r="A922" s="278"/>
      <c r="B922" s="277"/>
      <c r="C922" s="278"/>
    </row>
    <row r="923" spans="1:3" ht="14.5">
      <c r="A923" s="278"/>
      <c r="B923" s="277"/>
      <c r="C923" s="278"/>
    </row>
    <row r="924" spans="1:3" ht="14.5">
      <c r="A924" s="278"/>
      <c r="B924" s="277"/>
      <c r="C924" s="278"/>
    </row>
    <row r="925" spans="1:3" ht="14.5">
      <c r="A925" s="278"/>
      <c r="B925" s="277"/>
      <c r="C925" s="278"/>
    </row>
    <row r="926" spans="1:3" ht="14.5">
      <c r="A926" s="278"/>
      <c r="B926" s="277"/>
      <c r="C926" s="278"/>
    </row>
    <row r="927" spans="1:3" ht="14.5">
      <c r="A927" s="278"/>
      <c r="B927" s="277"/>
      <c r="C927" s="278"/>
    </row>
    <row r="928" spans="1:3" ht="14.5">
      <c r="A928" s="278"/>
      <c r="B928" s="277"/>
      <c r="C928" s="278"/>
    </row>
    <row r="929" spans="1:3" ht="14.5">
      <c r="A929" s="278"/>
      <c r="B929" s="277"/>
      <c r="C929" s="278"/>
    </row>
    <row r="930" spans="1:3" ht="14.5">
      <c r="A930" s="278"/>
      <c r="B930" s="277"/>
      <c r="C930" s="278"/>
    </row>
    <row r="931" spans="1:3" ht="14.5">
      <c r="A931" s="278"/>
      <c r="B931" s="277"/>
      <c r="C931" s="278"/>
    </row>
    <row r="932" spans="1:3" ht="14.5">
      <c r="A932" s="278"/>
      <c r="B932" s="277"/>
      <c r="C932" s="278"/>
    </row>
    <row r="933" spans="1:3" ht="14.5">
      <c r="A933" s="278"/>
      <c r="B933" s="277"/>
      <c r="C933" s="278"/>
    </row>
    <row r="934" spans="1:3" ht="14.5">
      <c r="A934" s="278"/>
      <c r="B934" s="277"/>
      <c r="C934" s="278"/>
    </row>
    <row r="935" spans="1:3" ht="14.5">
      <c r="A935" s="278"/>
      <c r="B935" s="277"/>
      <c r="C935" s="278"/>
    </row>
    <row r="936" spans="1:3" ht="14.5">
      <c r="A936" s="278"/>
      <c r="B936" s="277"/>
      <c r="C936" s="278"/>
    </row>
    <row r="937" spans="1:3" ht="14.5">
      <c r="A937" s="278"/>
      <c r="B937" s="277"/>
      <c r="C937" s="278"/>
    </row>
    <row r="938" spans="1:3" ht="14.5">
      <c r="A938" s="278"/>
      <c r="B938" s="277"/>
      <c r="C938" s="278"/>
    </row>
    <row r="939" spans="1:3" ht="14.5">
      <c r="A939" s="278"/>
      <c r="B939" s="277"/>
      <c r="C939" s="278"/>
    </row>
    <row r="940" spans="1:3" ht="14.5">
      <c r="A940" s="278"/>
      <c r="B940" s="277"/>
      <c r="C940" s="278"/>
    </row>
    <row r="941" spans="1:3" ht="14.5">
      <c r="A941" s="278"/>
      <c r="B941" s="277"/>
      <c r="C941" s="278"/>
    </row>
    <row r="942" spans="1:3" ht="14.5">
      <c r="A942" s="278"/>
      <c r="B942" s="277"/>
      <c r="C942" s="278"/>
    </row>
    <row r="943" spans="1:3" ht="14.5">
      <c r="A943" s="278"/>
      <c r="B943" s="277"/>
      <c r="C943" s="278"/>
    </row>
    <row r="944" spans="1:3" ht="14.5">
      <c r="A944" s="278"/>
      <c r="B944" s="277"/>
      <c r="C944" s="278"/>
    </row>
    <row r="945" spans="1:3" ht="14.5">
      <c r="A945" s="278"/>
      <c r="B945" s="277"/>
      <c r="C945" s="278"/>
    </row>
    <row r="946" spans="1:3" ht="14.5">
      <c r="A946" s="278"/>
      <c r="B946" s="277"/>
      <c r="C946" s="278"/>
    </row>
    <row r="947" spans="1:3" ht="14.5">
      <c r="A947" s="278"/>
      <c r="B947" s="277"/>
      <c r="C947" s="278"/>
    </row>
    <row r="948" spans="1:3" ht="14.5">
      <c r="A948" s="278"/>
      <c r="B948" s="277"/>
      <c r="C948" s="278"/>
    </row>
    <row r="949" spans="1:3" ht="14.5">
      <c r="A949" s="278"/>
      <c r="B949" s="277"/>
      <c r="C949" s="278"/>
    </row>
    <row r="950" spans="1:3" ht="14.5">
      <c r="A950" s="278"/>
      <c r="B950" s="277"/>
      <c r="C950" s="278"/>
    </row>
    <row r="951" spans="1:3" ht="14.5">
      <c r="A951" s="278"/>
      <c r="B951" s="277"/>
      <c r="C951" s="278"/>
    </row>
    <row r="952" spans="1:3" ht="14.5">
      <c r="A952" s="278"/>
      <c r="B952" s="277"/>
      <c r="C952" s="278"/>
    </row>
    <row r="953" spans="1:3" ht="14.5">
      <c r="A953" s="278"/>
      <c r="B953" s="277"/>
      <c r="C953" s="278"/>
    </row>
    <row r="954" spans="1:3" ht="14.5">
      <c r="A954" s="278"/>
      <c r="B954" s="277"/>
      <c r="C954" s="278"/>
    </row>
    <row r="955" spans="1:3" ht="14.5">
      <c r="A955" s="278"/>
      <c r="B955" s="277"/>
      <c r="C955" s="278"/>
    </row>
    <row r="956" spans="1:3" ht="14.5">
      <c r="A956" s="278"/>
      <c r="B956" s="277"/>
      <c r="C956" s="278"/>
    </row>
    <row r="957" spans="1:3" ht="14.5">
      <c r="A957" s="278"/>
      <c r="B957" s="277"/>
      <c r="C957" s="278"/>
    </row>
    <row r="958" spans="1:3" ht="14.5">
      <c r="A958" s="278"/>
      <c r="B958" s="277"/>
      <c r="C958" s="278"/>
    </row>
    <row r="959" spans="1:3" ht="14.5">
      <c r="A959" s="278"/>
      <c r="B959" s="277"/>
      <c r="C959" s="278"/>
    </row>
    <row r="960" spans="1:3" ht="14.5">
      <c r="A960" s="278"/>
      <c r="B960" s="277"/>
      <c r="C960" s="278"/>
    </row>
    <row r="961" spans="1:3" ht="14.5">
      <c r="A961" s="278"/>
      <c r="B961" s="277"/>
      <c r="C961" s="278"/>
    </row>
    <row r="962" spans="1:3" ht="14.5">
      <c r="A962" s="278"/>
      <c r="B962" s="277"/>
      <c r="C962" s="278"/>
    </row>
    <row r="963" spans="1:3" ht="14.5">
      <c r="A963" s="278"/>
      <c r="B963" s="277"/>
      <c r="C963" s="278"/>
    </row>
    <row r="964" spans="1:3" ht="14.5">
      <c r="A964" s="278"/>
      <c r="B964" s="277"/>
      <c r="C964" s="278"/>
    </row>
    <row r="965" spans="1:3" ht="14.5">
      <c r="A965" s="278"/>
      <c r="B965" s="277"/>
      <c r="C965" s="278"/>
    </row>
    <row r="966" spans="1:3" ht="14.5">
      <c r="A966" s="278"/>
      <c r="B966" s="277"/>
      <c r="C966" s="278"/>
    </row>
    <row r="967" spans="1:3" ht="14.5">
      <c r="A967" s="278"/>
      <c r="B967" s="277"/>
      <c r="C967" s="278"/>
    </row>
    <row r="968" spans="1:3" ht="14.5">
      <c r="A968" s="278"/>
      <c r="B968" s="277"/>
      <c r="C968" s="278"/>
    </row>
    <row r="969" spans="1:3" ht="14.5">
      <c r="A969" s="278"/>
      <c r="B969" s="277"/>
      <c r="C969" s="278"/>
    </row>
    <row r="970" spans="1:3" ht="14.5">
      <c r="A970" s="278"/>
      <c r="B970" s="277"/>
      <c r="C970" s="278"/>
    </row>
    <row r="971" spans="1:3" ht="14.5">
      <c r="A971" s="278"/>
      <c r="B971" s="277"/>
      <c r="C971" s="278"/>
    </row>
    <row r="972" spans="1:3" ht="14.5">
      <c r="A972" s="278"/>
      <c r="B972" s="277"/>
      <c r="C972" s="278"/>
    </row>
    <row r="973" spans="1:3" ht="14.5">
      <c r="A973" s="278"/>
      <c r="B973" s="277"/>
      <c r="C973" s="278"/>
    </row>
    <row r="974" spans="1:3" ht="14.5">
      <c r="A974" s="278"/>
      <c r="B974" s="277"/>
      <c r="C974" s="278"/>
    </row>
    <row r="975" spans="1:3" ht="14.5">
      <c r="A975" s="278"/>
      <c r="B975" s="277"/>
      <c r="C975" s="278"/>
    </row>
    <row r="976" spans="1:3" ht="14.5">
      <c r="A976" s="278"/>
      <c r="B976" s="277"/>
      <c r="C976" s="278"/>
    </row>
    <row r="977" spans="1:3" ht="14.5">
      <c r="A977" s="278"/>
      <c r="B977" s="277"/>
      <c r="C977" s="278"/>
    </row>
    <row r="978" spans="1:3" ht="14.5">
      <c r="A978" s="278"/>
      <c r="B978" s="277"/>
      <c r="C978" s="278"/>
    </row>
    <row r="979" spans="1:3" ht="14.5">
      <c r="A979" s="278"/>
      <c r="B979" s="277"/>
      <c r="C979" s="278"/>
    </row>
    <row r="980" spans="1:3" ht="14.5">
      <c r="A980" s="278"/>
      <c r="B980" s="277"/>
      <c r="C980" s="278"/>
    </row>
    <row r="981" spans="1:3" ht="14.5">
      <c r="A981" s="278"/>
      <c r="B981" s="277"/>
      <c r="C981" s="278"/>
    </row>
    <row r="982" spans="1:3" ht="14.5">
      <c r="A982" s="278"/>
      <c r="B982" s="277"/>
      <c r="C982" s="278"/>
    </row>
    <row r="983" spans="1:3" ht="14.5">
      <c r="A983" s="278"/>
      <c r="B983" s="277"/>
      <c r="C983" s="278"/>
    </row>
    <row r="984" spans="1:3" ht="14.5">
      <c r="A984" s="278"/>
      <c r="B984" s="277"/>
      <c r="C984" s="278"/>
    </row>
    <row r="985" spans="1:3" ht="14.5">
      <c r="A985" s="278"/>
      <c r="B985" s="277"/>
      <c r="C985" s="278"/>
    </row>
    <row r="986" spans="1:3" ht="14.5">
      <c r="A986" s="278"/>
      <c r="B986" s="277"/>
      <c r="C986" s="278"/>
    </row>
    <row r="987" spans="1:3" ht="14.5">
      <c r="A987" s="278"/>
      <c r="B987" s="277"/>
      <c r="C987" s="278"/>
    </row>
    <row r="988" spans="1:3" ht="14.5">
      <c r="A988" s="278"/>
      <c r="B988" s="277"/>
      <c r="C988" s="278"/>
    </row>
    <row r="989" spans="1:3" ht="14.5">
      <c r="A989" s="278"/>
      <c r="B989" s="277"/>
      <c r="C989" s="278"/>
    </row>
    <row r="990" spans="1:3" ht="14.5">
      <c r="A990" s="278"/>
      <c r="B990" s="277"/>
      <c r="C990" s="278"/>
    </row>
    <row r="991" spans="1:3" ht="14.5">
      <c r="A991" s="278"/>
      <c r="B991" s="277"/>
      <c r="C991" s="278"/>
    </row>
    <row r="992" spans="1:3" ht="14.5">
      <c r="A992" s="278"/>
      <c r="B992" s="277"/>
      <c r="C992" s="278"/>
    </row>
    <row r="993" spans="1:3" ht="14.5">
      <c r="A993" s="278"/>
      <c r="B993" s="277"/>
      <c r="C993" s="278"/>
    </row>
    <row r="994" spans="1:3" ht="14.5">
      <c r="A994" s="278"/>
      <c r="B994" s="277"/>
      <c r="C994" s="278"/>
    </row>
    <row r="995" spans="1:3" ht="14.5">
      <c r="A995" s="278"/>
      <c r="B995" s="277"/>
      <c r="C995" s="278"/>
    </row>
    <row r="996" spans="1:3" ht="14.5">
      <c r="A996" s="278"/>
      <c r="B996" s="277"/>
      <c r="C996" s="278"/>
    </row>
    <row r="997" spans="1:3" ht="14.5">
      <c r="A997" s="278"/>
      <c r="B997" s="277"/>
      <c r="C997" s="278"/>
    </row>
    <row r="998" spans="1:3" ht="14.5">
      <c r="A998" s="278"/>
      <c r="B998" s="277"/>
      <c r="C998" s="278"/>
    </row>
    <row r="999" spans="1:3" ht="14.5">
      <c r="A999" s="278"/>
      <c r="B999" s="277"/>
      <c r="C999" s="278"/>
    </row>
    <row r="1000" spans="1:3" ht="14.5">
      <c r="A1000" s="278"/>
      <c r="B1000" s="277"/>
      <c r="C1000" s="278"/>
    </row>
    <row r="1001" spans="1:3" ht="14.5">
      <c r="A1001" s="278"/>
      <c r="B1001" s="277"/>
      <c r="C1001" s="278"/>
    </row>
    <row r="1002" spans="1:3" ht="14.5">
      <c r="A1002" s="278"/>
      <c r="B1002" s="277"/>
      <c r="C1002" s="278"/>
    </row>
    <row r="1003" spans="1:3" ht="14.5">
      <c r="A1003" s="278"/>
      <c r="B1003" s="277"/>
      <c r="C1003" s="278"/>
    </row>
    <row r="1004" spans="1:3" ht="14.5">
      <c r="A1004" s="278"/>
      <c r="B1004" s="277"/>
      <c r="C1004" s="278"/>
    </row>
    <row r="1005" spans="1:3" ht="14.5">
      <c r="A1005" s="278"/>
      <c r="B1005" s="277"/>
      <c r="C1005" s="278"/>
    </row>
    <row r="1006" spans="1:3" ht="14.5">
      <c r="A1006" s="278"/>
      <c r="B1006" s="277"/>
      <c r="C1006" s="278"/>
    </row>
    <row r="1007" spans="1:3" ht="14.5">
      <c r="A1007" s="278"/>
      <c r="B1007" s="277"/>
      <c r="C1007" s="278"/>
    </row>
    <row r="1008" spans="1:3" ht="14.5">
      <c r="A1008" s="278"/>
      <c r="B1008" s="277"/>
      <c r="C1008" s="278"/>
    </row>
    <row r="1009" spans="1:3" ht="14.5">
      <c r="A1009" s="278"/>
      <c r="B1009" s="277"/>
      <c r="C1009" s="278"/>
    </row>
    <row r="1010" spans="1:3" ht="14.5">
      <c r="A1010" s="278"/>
      <c r="B1010" s="277"/>
      <c r="C1010" s="278"/>
    </row>
    <row r="1011" spans="1:3" ht="14.5">
      <c r="A1011" s="278"/>
      <c r="B1011" s="277"/>
      <c r="C1011" s="278"/>
    </row>
    <row r="1012" spans="1:3" ht="14.5">
      <c r="A1012" s="278"/>
      <c r="B1012" s="277"/>
      <c r="C1012" s="278"/>
    </row>
    <row r="1013" spans="1:3" ht="14.5">
      <c r="A1013" s="278"/>
      <c r="B1013" s="277"/>
      <c r="C1013" s="278"/>
    </row>
    <row r="1014" spans="1:3" ht="14.5">
      <c r="A1014" s="278"/>
      <c r="B1014" s="277"/>
      <c r="C1014" s="278"/>
    </row>
    <row r="1015" spans="1:3" ht="14.5">
      <c r="A1015" s="278"/>
      <c r="B1015" s="277"/>
      <c r="C1015" s="278"/>
    </row>
    <row r="1016" spans="1:3" ht="14.5">
      <c r="A1016" s="278"/>
      <c r="B1016" s="277"/>
      <c r="C1016" s="278"/>
    </row>
    <row r="1017" spans="1:3" ht="14.5">
      <c r="A1017" s="278"/>
      <c r="B1017" s="277"/>
      <c r="C1017" s="278"/>
    </row>
    <row r="1018" spans="1:3" ht="14.5">
      <c r="A1018" s="278"/>
      <c r="B1018" s="277"/>
      <c r="C1018" s="278"/>
    </row>
    <row r="1019" spans="1:3" ht="14.5">
      <c r="A1019" s="278"/>
      <c r="B1019" s="277"/>
      <c r="C1019" s="278"/>
    </row>
    <row r="1020" spans="1:3" ht="14.5">
      <c r="A1020" s="278"/>
      <c r="B1020" s="277"/>
      <c r="C1020" s="278"/>
    </row>
    <row r="1021" spans="1:3" ht="14.5">
      <c r="A1021" s="278"/>
      <c r="B1021" s="277"/>
      <c r="C1021" s="278"/>
    </row>
    <row r="1022" spans="1:3" ht="14.5">
      <c r="A1022" s="278"/>
      <c r="B1022" s="277"/>
      <c r="C1022" s="278"/>
    </row>
    <row r="1023" spans="1:3" ht="14.5">
      <c r="A1023" s="278"/>
      <c r="B1023" s="277"/>
      <c r="C1023" s="278"/>
    </row>
    <row r="1024" spans="1:3" ht="14.5">
      <c r="A1024" s="278"/>
      <c r="B1024" s="277"/>
      <c r="C1024" s="278"/>
    </row>
    <row r="1025" spans="1:3" ht="14.5">
      <c r="A1025" s="278"/>
      <c r="B1025" s="277"/>
      <c r="C1025" s="278"/>
    </row>
    <row r="1026" spans="1:3" ht="14.5">
      <c r="A1026" s="278"/>
      <c r="B1026" s="277"/>
      <c r="C1026" s="278"/>
    </row>
    <row r="1027" spans="1:3" ht="14.5">
      <c r="A1027" s="278"/>
      <c r="B1027" s="277"/>
      <c r="C1027" s="278"/>
    </row>
    <row r="1028" spans="1:3" ht="14.5">
      <c r="A1028" s="278"/>
      <c r="B1028" s="277"/>
      <c r="C1028" s="278"/>
    </row>
    <row r="1029" spans="1:3" ht="14.5">
      <c r="A1029" s="278"/>
      <c r="B1029" s="277"/>
      <c r="C1029" s="278"/>
    </row>
    <row r="1030" spans="1:3" ht="14.5">
      <c r="A1030" s="278"/>
      <c r="B1030" s="277"/>
      <c r="C1030" s="278"/>
    </row>
    <row r="1031" spans="1:3" ht="14.5">
      <c r="A1031" s="278"/>
      <c r="B1031" s="277"/>
      <c r="C1031" s="278"/>
    </row>
    <row r="1032" spans="1:3" ht="14.5">
      <c r="A1032" s="278"/>
      <c r="B1032" s="277"/>
      <c r="C1032" s="278"/>
    </row>
    <row r="1033" spans="1:3" ht="14.5">
      <c r="A1033" s="278"/>
      <c r="B1033" s="277"/>
      <c r="C1033" s="278"/>
    </row>
    <row r="1034" spans="1:3" ht="14.5">
      <c r="A1034" s="278"/>
      <c r="B1034" s="277"/>
      <c r="C1034" s="278"/>
    </row>
    <row r="1035" spans="1:3" ht="14.5">
      <c r="A1035" s="278"/>
      <c r="B1035" s="277"/>
      <c r="C1035" s="278"/>
    </row>
  </sheetData>
  <mergeCells count="4">
    <mergeCell ref="C3:C4"/>
    <mergeCell ref="A97:B97"/>
    <mergeCell ref="A3:A4"/>
    <mergeCell ref="B3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2031-F9D0-461C-AEB9-713B9DF94D18}">
  <dimension ref="A1:K475"/>
  <sheetViews>
    <sheetView zoomScale="55" zoomScaleNormal="55" workbookViewId="0">
      <selection activeCell="S81" sqref="S81"/>
    </sheetView>
  </sheetViews>
  <sheetFormatPr defaultColWidth="6.1796875" defaultRowHeight="12.5"/>
  <cols>
    <col min="1" max="1" width="16" style="208" customWidth="1"/>
    <col min="2" max="2" width="14.1796875" style="208" customWidth="1"/>
    <col min="3" max="3" width="15.453125" style="208" customWidth="1"/>
    <col min="4" max="4" width="53.1796875" style="208" customWidth="1"/>
    <col min="5" max="5" width="20.1796875" style="244" customWidth="1"/>
    <col min="6" max="6" width="6.1796875" style="208"/>
    <col min="7" max="7" width="17" style="208" bestFit="1" customWidth="1"/>
    <col min="8" max="8" width="14.7265625" style="208" bestFit="1" customWidth="1"/>
    <col min="9" max="9" width="16.1796875" style="208" bestFit="1" customWidth="1"/>
    <col min="10" max="10" width="56" style="208" bestFit="1" customWidth="1"/>
    <col min="11" max="11" width="20.81640625" style="208" bestFit="1" customWidth="1"/>
    <col min="12" max="16384" width="6.1796875" style="208"/>
  </cols>
  <sheetData>
    <row r="1" spans="1:11" ht="18">
      <c r="A1" s="303" t="s">
        <v>858</v>
      </c>
      <c r="B1" s="304"/>
      <c r="C1" s="304"/>
      <c r="D1" s="304"/>
      <c r="E1" s="305"/>
      <c r="G1" s="306" t="s">
        <v>844</v>
      </c>
      <c r="H1" s="307"/>
      <c r="I1" s="307"/>
      <c r="J1" s="307"/>
      <c r="K1" s="308"/>
    </row>
    <row r="2" spans="1:11" s="212" customFormat="1" ht="29.15" customHeight="1">
      <c r="A2" s="209" t="s">
        <v>0</v>
      </c>
      <c r="B2" s="209" t="s">
        <v>1</v>
      </c>
      <c r="C2" s="210" t="s">
        <v>2</v>
      </c>
      <c r="D2" s="210" t="s">
        <v>3</v>
      </c>
      <c r="E2" s="211" t="s">
        <v>593</v>
      </c>
      <c r="G2" s="209" t="s">
        <v>0</v>
      </c>
      <c r="H2" s="209" t="s">
        <v>1</v>
      </c>
      <c r="I2" s="210" t="s">
        <v>2</v>
      </c>
      <c r="J2" s="210" t="s">
        <v>3</v>
      </c>
      <c r="K2" s="213" t="s">
        <v>593</v>
      </c>
    </row>
    <row r="3" spans="1:11">
      <c r="A3" s="214" t="s">
        <v>6</v>
      </c>
      <c r="B3" s="214" t="s">
        <v>7</v>
      </c>
      <c r="C3" s="215">
        <v>100011</v>
      </c>
      <c r="D3" s="215" t="s">
        <v>594</v>
      </c>
      <c r="E3" s="216">
        <v>103</v>
      </c>
      <c r="G3" s="214" t="str">
        <f>Table18[[#This Row],[KATEGORI]]</f>
        <v>MINUMAN</v>
      </c>
      <c r="H3" s="214" t="str">
        <f>Table18[[#This Row],[TYPE]]</f>
        <v>RETAIL</v>
      </c>
      <c r="I3" s="215">
        <f>Table18[[#This Row],[ITEM CODE]]</f>
        <v>100011</v>
      </c>
      <c r="J3" s="215" t="str">
        <f>Table18[[#This Row],[ITEM NAME]]</f>
        <v>TEHBTLSOSROPET450ML</v>
      </c>
      <c r="K3" s="217"/>
    </row>
    <row r="4" spans="1:11">
      <c r="A4" s="214" t="s">
        <v>6</v>
      </c>
      <c r="B4" s="214" t="s">
        <v>7</v>
      </c>
      <c r="C4" s="215">
        <v>100016</v>
      </c>
      <c r="D4" s="215" t="s">
        <v>8</v>
      </c>
      <c r="E4" s="216">
        <v>204</v>
      </c>
      <c r="G4" s="214" t="str">
        <f>Table18[[#This Row],[KATEGORI]]</f>
        <v>MINUMAN</v>
      </c>
      <c r="H4" s="214" t="str">
        <f>Table18[[#This Row],[TYPE]]</f>
        <v>RETAIL</v>
      </c>
      <c r="I4" s="215">
        <f>Table18[[#This Row],[ITEM CODE]]</f>
        <v>100016</v>
      </c>
      <c r="J4" s="215" t="str">
        <f>Table18[[#This Row],[ITEM NAME]]</f>
        <v>PRIMA 600ML</v>
      </c>
      <c r="K4" s="217"/>
    </row>
    <row r="5" spans="1:11" hidden="1">
      <c r="A5" s="218" t="s">
        <v>6</v>
      </c>
      <c r="B5" s="214" t="s">
        <v>7</v>
      </c>
      <c r="C5" s="215">
        <v>100017</v>
      </c>
      <c r="D5" s="215" t="s">
        <v>595</v>
      </c>
      <c r="E5" s="216"/>
      <c r="G5" s="214" t="str">
        <f>Table18[[#This Row],[KATEGORI]]</f>
        <v>MINUMAN</v>
      </c>
      <c r="H5" s="214" t="str">
        <f>Table18[[#This Row],[TYPE]]</f>
        <v>RETAIL</v>
      </c>
      <c r="I5" s="215">
        <f>Table18[[#This Row],[ITEM CODE]]</f>
        <v>100017</v>
      </c>
      <c r="J5" s="215" t="str">
        <f>Table18[[#This Row],[ITEM NAME]]</f>
        <v>ULTRA MILK COKLAT 250ML</v>
      </c>
      <c r="K5" s="217"/>
    </row>
    <row r="6" spans="1:11">
      <c r="A6" s="214" t="s">
        <v>6</v>
      </c>
      <c r="B6" s="214" t="s">
        <v>7</v>
      </c>
      <c r="C6" s="215">
        <v>100030</v>
      </c>
      <c r="D6" s="215" t="s">
        <v>168</v>
      </c>
      <c r="E6" s="216">
        <v>37</v>
      </c>
      <c r="G6" s="214" t="str">
        <f>Table18[[#This Row],[KATEGORI]]</f>
        <v>MINUMAN</v>
      </c>
      <c r="H6" s="214" t="str">
        <f>Table18[[#This Row],[TYPE]]</f>
        <v>RETAIL</v>
      </c>
      <c r="I6" s="215">
        <f>Table18[[#This Row],[ITEM CODE]]</f>
        <v>100030</v>
      </c>
      <c r="J6" s="215" t="str">
        <f>Table18[[#This Row],[ITEM NAME]]</f>
        <v>YOU C 1000 ORANGE WATER 500ML</v>
      </c>
      <c r="K6" s="217"/>
    </row>
    <row r="7" spans="1:11">
      <c r="A7" s="214" t="s">
        <v>6</v>
      </c>
      <c r="B7" s="214" t="s">
        <v>7</v>
      </c>
      <c r="C7" s="215">
        <v>100031</v>
      </c>
      <c r="D7" s="215" t="s">
        <v>545</v>
      </c>
      <c r="E7" s="216">
        <v>62</v>
      </c>
      <c r="G7" s="214" t="str">
        <f>Table18[[#This Row],[KATEGORI]]</f>
        <v>MINUMAN</v>
      </c>
      <c r="H7" s="214" t="str">
        <f>Table18[[#This Row],[TYPE]]</f>
        <v>RETAIL</v>
      </c>
      <c r="I7" s="215">
        <f>Table18[[#This Row],[ITEM CODE]]</f>
        <v>100031</v>
      </c>
      <c r="J7" s="215" t="str">
        <f>Table18[[#This Row],[ITEM NAME]]</f>
        <v>POCARI SWEAT PET 350ML</v>
      </c>
      <c r="K7" s="217">
        <v>2</v>
      </c>
    </row>
    <row r="8" spans="1:11">
      <c r="A8" s="214" t="s">
        <v>6</v>
      </c>
      <c r="B8" s="214" t="s">
        <v>7</v>
      </c>
      <c r="C8" s="215">
        <v>100032</v>
      </c>
      <c r="D8" s="215" t="s">
        <v>9</v>
      </c>
      <c r="E8" s="216">
        <v>7</v>
      </c>
      <c r="G8" s="214" t="str">
        <f>Table18[[#This Row],[KATEGORI]]</f>
        <v>MINUMAN</v>
      </c>
      <c r="H8" s="214" t="str">
        <f>Table18[[#This Row],[TYPE]]</f>
        <v>RETAIL</v>
      </c>
      <c r="I8" s="215">
        <f>Table18[[#This Row],[ITEM CODE]]</f>
        <v>100032</v>
      </c>
      <c r="J8" s="215" t="str">
        <f>Table18[[#This Row],[ITEM NAME]]</f>
        <v>NU GREENTEA MADU 500ML</v>
      </c>
      <c r="K8" s="217">
        <v>28</v>
      </c>
    </row>
    <row r="9" spans="1:11">
      <c r="A9" s="218" t="s">
        <v>6</v>
      </c>
      <c r="B9" s="214" t="s">
        <v>7</v>
      </c>
      <c r="C9" s="215">
        <v>100033</v>
      </c>
      <c r="D9" s="215" t="s">
        <v>10</v>
      </c>
      <c r="E9" s="216">
        <v>13</v>
      </c>
      <c r="G9" s="214" t="str">
        <f>Table18[[#This Row],[KATEGORI]]</f>
        <v>MINUMAN</v>
      </c>
      <c r="H9" s="214" t="str">
        <f>Table18[[#This Row],[TYPE]]</f>
        <v>RETAIL</v>
      </c>
      <c r="I9" s="215">
        <f>Table18[[#This Row],[ITEM CODE]]</f>
        <v>100033</v>
      </c>
      <c r="J9" s="215" t="str">
        <f>Table18[[#This Row],[ITEM NAME]]</f>
        <v>NU GREENTEA ORIGIN 500ML</v>
      </c>
      <c r="K9" s="217">
        <v>29</v>
      </c>
    </row>
    <row r="10" spans="1:11">
      <c r="A10" s="218" t="s">
        <v>6</v>
      </c>
      <c r="B10" s="214" t="s">
        <v>7</v>
      </c>
      <c r="C10" s="215">
        <v>100034</v>
      </c>
      <c r="D10" s="215" t="s">
        <v>165</v>
      </c>
      <c r="E10" s="216">
        <v>58</v>
      </c>
      <c r="G10" s="214" t="str">
        <f>Table18[[#This Row],[KATEGORI]]</f>
        <v>MINUMAN</v>
      </c>
      <c r="H10" s="214" t="str">
        <f>Table18[[#This Row],[TYPE]]</f>
        <v>RETAIL</v>
      </c>
      <c r="I10" s="215">
        <f>Table18[[#This Row],[ITEM CODE]]</f>
        <v>100034</v>
      </c>
      <c r="J10" s="215" t="str">
        <f>Table18[[#This Row],[ITEM NAME]]</f>
        <v>YOU C 1000 ORANGE140ML</v>
      </c>
      <c r="K10" s="217"/>
    </row>
    <row r="11" spans="1:11">
      <c r="A11" s="218" t="s">
        <v>6</v>
      </c>
      <c r="B11" s="214" t="s">
        <v>7</v>
      </c>
      <c r="C11" s="215">
        <v>100035</v>
      </c>
      <c r="D11" s="215" t="s">
        <v>166</v>
      </c>
      <c r="E11" s="216">
        <v>30</v>
      </c>
      <c r="G11" s="214" t="str">
        <f>Table18[[#This Row],[KATEGORI]]</f>
        <v>MINUMAN</v>
      </c>
      <c r="H11" s="214" t="str">
        <f>Table18[[#This Row],[TYPE]]</f>
        <v>RETAIL</v>
      </c>
      <c r="I11" s="215">
        <f>Table18[[#This Row],[ITEM CODE]]</f>
        <v>100035</v>
      </c>
      <c r="J11" s="215" t="str">
        <f>Table18[[#This Row],[ITEM NAME]]</f>
        <v>YOU C 1000 LEMON 140ML</v>
      </c>
      <c r="K11" s="217"/>
    </row>
    <row r="12" spans="1:11">
      <c r="A12" s="218" t="s">
        <v>6</v>
      </c>
      <c r="B12" s="214" t="s">
        <v>7</v>
      </c>
      <c r="C12" s="215">
        <v>100037</v>
      </c>
      <c r="D12" s="215" t="s">
        <v>167</v>
      </c>
      <c r="E12" s="216">
        <v>3</v>
      </c>
      <c r="G12" s="214" t="str">
        <f>Table18[[#This Row],[KATEGORI]]</f>
        <v>MINUMAN</v>
      </c>
      <c r="H12" s="214" t="str">
        <f>Table18[[#This Row],[TYPE]]</f>
        <v>RETAIL</v>
      </c>
      <c r="I12" s="215">
        <f>Table18[[#This Row],[ITEM CODE]]</f>
        <v>100037</v>
      </c>
      <c r="J12" s="215" t="str">
        <f>Table18[[#This Row],[ITEM NAME]]</f>
        <v>YOU C 1000 LEMON WATER 500ML</v>
      </c>
      <c r="K12" s="217"/>
    </row>
    <row r="13" spans="1:11">
      <c r="A13" s="218" t="s">
        <v>6</v>
      </c>
      <c r="B13" s="214" t="s">
        <v>7</v>
      </c>
      <c r="C13" s="215">
        <v>100038</v>
      </c>
      <c r="D13" s="215" t="s">
        <v>597</v>
      </c>
      <c r="E13" s="216"/>
      <c r="G13" s="214" t="str">
        <f>Table18[[#This Row],[KATEGORI]]</f>
        <v>MINUMAN</v>
      </c>
      <c r="H13" s="214" t="str">
        <f>Table18[[#This Row],[TYPE]]</f>
        <v>RETAIL</v>
      </c>
      <c r="I13" s="215">
        <f>Table18[[#This Row],[ITEM CODE]]</f>
        <v>100038</v>
      </c>
      <c r="J13" s="215" t="str">
        <f>Table18[[#This Row],[ITEM NAME]]</f>
        <v>MINUTE MAID PULPY ORANGE 350ML</v>
      </c>
      <c r="K13" s="217">
        <v>10</v>
      </c>
    </row>
    <row r="14" spans="1:11">
      <c r="A14" s="214" t="s">
        <v>6</v>
      </c>
      <c r="B14" s="214" t="s">
        <v>7</v>
      </c>
      <c r="C14" s="215">
        <v>100043</v>
      </c>
      <c r="D14" s="215" t="s">
        <v>162</v>
      </c>
      <c r="E14" s="216"/>
      <c r="G14" s="214" t="str">
        <f>Table18[[#This Row],[KATEGORI]]</f>
        <v>MINUMAN</v>
      </c>
      <c r="H14" s="214" t="str">
        <f>Table18[[#This Row],[TYPE]]</f>
        <v>RETAIL</v>
      </c>
      <c r="I14" s="215">
        <f>Table18[[#This Row],[ITEM CODE]]</f>
        <v>100043</v>
      </c>
      <c r="J14" s="215" t="str">
        <f>Table18[[#This Row],[ITEM NAME]]</f>
        <v>KOPIKO 78C 250ML</v>
      </c>
      <c r="K14" s="217">
        <v>24</v>
      </c>
    </row>
    <row r="15" spans="1:11" hidden="1">
      <c r="A15" s="214" t="s">
        <v>6</v>
      </c>
      <c r="B15" s="214" t="s">
        <v>7</v>
      </c>
      <c r="C15" s="215">
        <v>100068</v>
      </c>
      <c r="D15" s="215" t="s">
        <v>598</v>
      </c>
      <c r="E15" s="216"/>
      <c r="G15" s="214" t="str">
        <f>Table18[[#This Row],[KATEGORI]]</f>
        <v>MINUMAN</v>
      </c>
      <c r="H15" s="214" t="str">
        <f>Table18[[#This Row],[TYPE]]</f>
        <v>RETAIL</v>
      </c>
      <c r="I15" s="215">
        <f>Table18[[#This Row],[ITEM CODE]]</f>
        <v>100068</v>
      </c>
      <c r="J15" s="215" t="str">
        <f>Table18[[#This Row],[ITEM NAME]]</f>
        <v>FRESTEA GREEN 500ML</v>
      </c>
      <c r="K15" s="217"/>
    </row>
    <row r="16" spans="1:11">
      <c r="A16" s="214" t="s">
        <v>6</v>
      </c>
      <c r="B16" s="214" t="s">
        <v>7</v>
      </c>
      <c r="C16" s="215">
        <v>100080</v>
      </c>
      <c r="D16" s="215" t="s">
        <v>17</v>
      </c>
      <c r="E16" s="216">
        <v>64</v>
      </c>
      <c r="G16" s="214" t="str">
        <f>Table18[[#This Row],[KATEGORI]]</f>
        <v>MINUMAN</v>
      </c>
      <c r="H16" s="214" t="str">
        <f>Table18[[#This Row],[TYPE]]</f>
        <v>RETAIL</v>
      </c>
      <c r="I16" s="215">
        <f>Table18[[#This Row],[ITEM CODE]]</f>
        <v>100080</v>
      </c>
      <c r="J16" s="215" t="str">
        <f>Table18[[#This Row],[ITEM NAME]]</f>
        <v>HYDRO COCO 250ML</v>
      </c>
      <c r="K16" s="217"/>
    </row>
    <row r="17" spans="1:11">
      <c r="A17" s="214" t="s">
        <v>6</v>
      </c>
      <c r="B17" s="214" t="s">
        <v>7</v>
      </c>
      <c r="C17" s="215">
        <v>100093</v>
      </c>
      <c r="D17" s="215" t="s">
        <v>599</v>
      </c>
      <c r="E17" s="216"/>
      <c r="G17" s="214" t="str">
        <f>Table18[[#This Row],[KATEGORI]]</f>
        <v>MINUMAN</v>
      </c>
      <c r="H17" s="214" t="str">
        <f>Table18[[#This Row],[TYPE]]</f>
        <v>RETAIL</v>
      </c>
      <c r="I17" s="215">
        <f>Table18[[#This Row],[ITEM CODE]]</f>
        <v>100093</v>
      </c>
      <c r="J17" s="215" t="str">
        <f>Table18[[#This Row],[ITEM NAME]]</f>
        <v>FRESTEA APPLE 500ML</v>
      </c>
      <c r="K17" s="217">
        <v>40</v>
      </c>
    </row>
    <row r="18" spans="1:11" hidden="1">
      <c r="A18" s="214" t="s">
        <v>6</v>
      </c>
      <c r="B18" s="214" t="s">
        <v>7</v>
      </c>
      <c r="C18" s="215">
        <v>100126</v>
      </c>
      <c r="D18" s="215" t="s">
        <v>331</v>
      </c>
      <c r="E18" s="216"/>
      <c r="G18" s="214" t="str">
        <f>Table18[[#This Row],[KATEGORI]]</f>
        <v>MINUMAN</v>
      </c>
      <c r="H18" s="214" t="str">
        <f>Table18[[#This Row],[TYPE]]</f>
        <v>RETAIL</v>
      </c>
      <c r="I18" s="215">
        <f>Table18[[#This Row],[ITEM CODE]]</f>
        <v>100126</v>
      </c>
      <c r="J18" s="215" t="str">
        <f>Table18[[#This Row],[ITEM NAME]]</f>
        <v>TEH BTL SOSRO LSJ 450ML</v>
      </c>
      <c r="K18" s="217"/>
    </row>
    <row r="19" spans="1:11">
      <c r="A19" s="218" t="s">
        <v>6</v>
      </c>
      <c r="B19" s="214" t="s">
        <v>7</v>
      </c>
      <c r="C19" s="215">
        <v>100140</v>
      </c>
      <c r="D19" s="215" t="s">
        <v>600</v>
      </c>
      <c r="E19" s="216"/>
      <c r="G19" s="214" t="str">
        <f>Table18[[#This Row],[KATEGORI]]</f>
        <v>MINUMAN</v>
      </c>
      <c r="H19" s="214" t="str">
        <f>Table18[[#This Row],[TYPE]]</f>
        <v>RETAIL</v>
      </c>
      <c r="I19" s="215">
        <f>Table18[[#This Row],[ITEM CODE]]</f>
        <v>100140</v>
      </c>
      <c r="J19" s="215" t="str">
        <f>Table18[[#This Row],[ITEM NAME]]</f>
        <v>FRESTEA GREEN HONEY 500ML</v>
      </c>
      <c r="K19" s="217">
        <v>17</v>
      </c>
    </row>
    <row r="20" spans="1:11" hidden="1">
      <c r="A20" s="218" t="s">
        <v>6</v>
      </c>
      <c r="B20" s="214" t="s">
        <v>7</v>
      </c>
      <c r="C20" s="215">
        <v>100153</v>
      </c>
      <c r="D20" s="215" t="s">
        <v>273</v>
      </c>
      <c r="E20" s="216"/>
      <c r="G20" s="214" t="str">
        <f>Table18[[#This Row],[KATEGORI]]</f>
        <v>MINUMAN</v>
      </c>
      <c r="H20" s="214" t="str">
        <f>Table18[[#This Row],[TYPE]]</f>
        <v>RETAIL</v>
      </c>
      <c r="I20" s="215">
        <f>Table18[[#This Row],[ITEM CODE]]</f>
        <v>100153</v>
      </c>
      <c r="J20" s="215" t="str">
        <f>Table18[[#This Row],[ITEM NAME]]</f>
        <v>GOOD DAY COFEE MOCA 250ML</v>
      </c>
      <c r="K20" s="217"/>
    </row>
    <row r="21" spans="1:11" s="219" customFormat="1">
      <c r="A21" s="214" t="s">
        <v>6</v>
      </c>
      <c r="B21" s="214" t="s">
        <v>7</v>
      </c>
      <c r="C21" s="215">
        <v>100188</v>
      </c>
      <c r="D21" s="215" t="s">
        <v>604</v>
      </c>
      <c r="E21" s="216"/>
      <c r="G21" s="214" t="str">
        <f>Table18[[#This Row],[KATEGORI]]</f>
        <v>MINUMAN</v>
      </c>
      <c r="H21" s="214" t="str">
        <f>Table18[[#This Row],[TYPE]]</f>
        <v>RETAIL</v>
      </c>
      <c r="I21" s="215">
        <f>Table18[[#This Row],[ITEM CODE]]</f>
        <v>100188</v>
      </c>
      <c r="J21" s="215" t="str">
        <f>Table18[[#This Row],[ITEM NAME]]</f>
        <v>FRESTEA JASMINE 500ML</v>
      </c>
      <c r="K21" s="217">
        <v>26</v>
      </c>
    </row>
    <row r="22" spans="1:11">
      <c r="A22" s="214" t="s">
        <v>6</v>
      </c>
      <c r="B22" s="214" t="s">
        <v>7</v>
      </c>
      <c r="C22" s="215">
        <v>100199</v>
      </c>
      <c r="D22" s="215" t="s">
        <v>605</v>
      </c>
      <c r="E22" s="216"/>
      <c r="G22" s="214" t="str">
        <f>Table18[[#This Row],[KATEGORI]]</f>
        <v>MINUMAN</v>
      </c>
      <c r="H22" s="214" t="str">
        <f>Table18[[#This Row],[TYPE]]</f>
        <v>RETAIL</v>
      </c>
      <c r="I22" s="215">
        <f>Table18[[#This Row],[ITEM CODE]]</f>
        <v>100199</v>
      </c>
      <c r="J22" s="215" t="str">
        <f>Table18[[#This Row],[ITEM NAME]]</f>
        <v>SPRITE 390ML</v>
      </c>
      <c r="K22" s="217">
        <v>14</v>
      </c>
    </row>
    <row r="23" spans="1:11">
      <c r="A23" s="214" t="s">
        <v>6</v>
      </c>
      <c r="B23" s="214" t="s">
        <v>7</v>
      </c>
      <c r="C23" s="215">
        <v>100202</v>
      </c>
      <c r="D23" s="215" t="s">
        <v>606</v>
      </c>
      <c r="E23" s="216"/>
      <c r="G23" s="214" t="str">
        <f>Table18[[#This Row],[KATEGORI]]</f>
        <v>MINUMAN</v>
      </c>
      <c r="H23" s="214" t="str">
        <f>Table18[[#This Row],[TYPE]]</f>
        <v>RETAIL</v>
      </c>
      <c r="I23" s="215">
        <f>Table18[[#This Row],[ITEM CODE]]</f>
        <v>100202</v>
      </c>
      <c r="J23" s="215" t="str">
        <f>Table18[[#This Row],[ITEM NAME]]</f>
        <v>COCA COLA CAN 390ML</v>
      </c>
      <c r="K23" s="217">
        <v>15</v>
      </c>
    </row>
    <row r="24" spans="1:11" hidden="1">
      <c r="A24" s="218" t="s">
        <v>6</v>
      </c>
      <c r="B24" s="214" t="s">
        <v>7</v>
      </c>
      <c r="C24" s="215">
        <v>100217</v>
      </c>
      <c r="D24" s="215" t="s">
        <v>607</v>
      </c>
      <c r="E24" s="216"/>
      <c r="G24" s="214" t="str">
        <f>Table18[[#This Row],[KATEGORI]]</f>
        <v>MINUMAN</v>
      </c>
      <c r="H24" s="214" t="str">
        <f>Table18[[#This Row],[TYPE]]</f>
        <v>RETAIL</v>
      </c>
      <c r="I24" s="215">
        <f>Table18[[#This Row],[ITEM CODE]]</f>
        <v>100217</v>
      </c>
      <c r="J24" s="215" t="str">
        <f>Table18[[#This Row],[ITEM NAME]]</f>
        <v>ULTRA SUSU SLIM STRAW 250ML</v>
      </c>
      <c r="K24" s="217"/>
    </row>
    <row r="25" spans="1:11" hidden="1">
      <c r="A25" s="214" t="s">
        <v>25</v>
      </c>
      <c r="B25" s="214" t="s">
        <v>7</v>
      </c>
      <c r="C25" s="215">
        <v>200000</v>
      </c>
      <c r="D25" s="215" t="s">
        <v>609</v>
      </c>
      <c r="E25" s="216"/>
      <c r="G25" s="214" t="str">
        <f>Table18[[#This Row],[KATEGORI]]</f>
        <v>SNACK</v>
      </c>
      <c r="H25" s="214" t="str">
        <f>Table18[[#This Row],[TYPE]]</f>
        <v>RETAIL</v>
      </c>
      <c r="I25" s="215">
        <f>Table18[[#This Row],[ITEM CODE]]</f>
        <v>200000</v>
      </c>
      <c r="J25" s="215" t="str">
        <f>Table18[[#This Row],[ITEM NAME]]</f>
        <v>CHIKI BALLS RASA AYAM10GR</v>
      </c>
      <c r="K25" s="217"/>
    </row>
    <row r="26" spans="1:11">
      <c r="A26" s="214" t="s">
        <v>25</v>
      </c>
      <c r="B26" s="214" t="s">
        <v>7</v>
      </c>
      <c r="C26" s="215">
        <v>200004</v>
      </c>
      <c r="D26" s="215" t="s">
        <v>328</v>
      </c>
      <c r="E26" s="216">
        <v>36</v>
      </c>
      <c r="G26" s="214" t="str">
        <f>Table18[[#This Row],[KATEGORI]]</f>
        <v>SNACK</v>
      </c>
      <c r="H26" s="214" t="str">
        <f>Table18[[#This Row],[TYPE]]</f>
        <v>RETAIL</v>
      </c>
      <c r="I26" s="215">
        <f>Table18[[#This Row],[ITEM CODE]]</f>
        <v>200004</v>
      </c>
      <c r="J26" s="215" t="str">
        <f>Table18[[#This Row],[ITEM NAME]]</f>
        <v>CHITATORSASAPIPGGNG BBQ 35GR</v>
      </c>
      <c r="K26" s="217"/>
    </row>
    <row r="27" spans="1:11" hidden="1">
      <c r="A27" s="214" t="s">
        <v>25</v>
      </c>
      <c r="B27" s="214" t="s">
        <v>7</v>
      </c>
      <c r="C27" s="215">
        <v>200011</v>
      </c>
      <c r="D27" s="215" t="s">
        <v>319</v>
      </c>
      <c r="E27" s="216"/>
      <c r="G27" s="214" t="str">
        <f>Table18[[#This Row],[KATEGORI]]</f>
        <v>SNACK</v>
      </c>
      <c r="H27" s="214" t="str">
        <f>Table18[[#This Row],[TYPE]]</f>
        <v>RETAIL</v>
      </c>
      <c r="I27" s="215">
        <f>Table18[[#This Row],[ITEM CODE]]</f>
        <v>200011</v>
      </c>
      <c r="J27" s="215" t="str">
        <f>Table18[[#This Row],[ITEM NAME]]</f>
        <v>CHEETOSRASAJAGUNGBAKAR40GR</v>
      </c>
      <c r="K27" s="217"/>
    </row>
    <row r="28" spans="1:11" hidden="1">
      <c r="A28" s="214" t="s">
        <v>25</v>
      </c>
      <c r="B28" s="214" t="s">
        <v>7</v>
      </c>
      <c r="C28" s="215">
        <v>200015</v>
      </c>
      <c r="D28" s="215" t="s">
        <v>429</v>
      </c>
      <c r="E28" s="216"/>
      <c r="G28" s="214" t="str">
        <f>Table18[[#This Row],[KATEGORI]]</f>
        <v>SNACK</v>
      </c>
      <c r="H28" s="214" t="str">
        <f>Table18[[#This Row],[TYPE]]</f>
        <v>RETAIL</v>
      </c>
      <c r="I28" s="215">
        <f>Table18[[#This Row],[ITEM CODE]]</f>
        <v>200015</v>
      </c>
      <c r="J28" s="215" t="str">
        <f>Table18[[#This Row],[ITEM NAME]]</f>
        <v>TKNCRISPYBIGCLASSIC4GR</v>
      </c>
      <c r="K28" s="217"/>
    </row>
    <row r="29" spans="1:11" hidden="1">
      <c r="A29" s="214" t="s">
        <v>25</v>
      </c>
      <c r="B29" s="214" t="s">
        <v>7</v>
      </c>
      <c r="C29" s="215">
        <v>200016</v>
      </c>
      <c r="D29" s="215" t="s">
        <v>422</v>
      </c>
      <c r="E29" s="216"/>
      <c r="G29" s="214" t="str">
        <f>Table18[[#This Row],[KATEGORI]]</f>
        <v>SNACK</v>
      </c>
      <c r="H29" s="214" t="str">
        <f>Table18[[#This Row],[TYPE]]</f>
        <v>RETAIL</v>
      </c>
      <c r="I29" s="215">
        <f>Table18[[#This Row],[ITEM CODE]]</f>
        <v>200016</v>
      </c>
      <c r="J29" s="215" t="str">
        <f>Table18[[#This Row],[ITEM NAME]]</f>
        <v>MJPANDA STRAW 45GR</v>
      </c>
      <c r="K29" s="217"/>
    </row>
    <row r="30" spans="1:11" hidden="1">
      <c r="A30" s="214" t="s">
        <v>25</v>
      </c>
      <c r="B30" s="214" t="s">
        <v>7</v>
      </c>
      <c r="C30" s="215">
        <v>200018</v>
      </c>
      <c r="D30" s="215" t="s">
        <v>421</v>
      </c>
      <c r="E30" s="216"/>
      <c r="G30" s="214" t="str">
        <f>Table18[[#This Row],[KATEGORI]]</f>
        <v>SNACK</v>
      </c>
      <c r="H30" s="214" t="str">
        <f>Table18[[#This Row],[TYPE]]</f>
        <v>RETAIL</v>
      </c>
      <c r="I30" s="215">
        <f>Table18[[#This Row],[ITEM CODE]]</f>
        <v>200018</v>
      </c>
      <c r="J30" s="215" t="str">
        <f>Table18[[#This Row],[ITEM NAME]]</f>
        <v>MJ PANDACHOCO 45GR</v>
      </c>
      <c r="K30" s="217"/>
    </row>
    <row r="31" spans="1:11" hidden="1">
      <c r="A31" s="214" t="s">
        <v>25</v>
      </c>
      <c r="B31" s="214" t="s">
        <v>7</v>
      </c>
      <c r="C31" s="215">
        <v>200019</v>
      </c>
      <c r="D31" s="215" t="s">
        <v>611</v>
      </c>
      <c r="E31" s="216"/>
      <c r="G31" s="214" t="str">
        <f>Table18[[#This Row],[KATEGORI]]</f>
        <v>SNACK</v>
      </c>
      <c r="H31" s="214" t="str">
        <f>Table18[[#This Row],[TYPE]]</f>
        <v>RETAIL</v>
      </c>
      <c r="I31" s="215">
        <f>Table18[[#This Row],[ITEM CODE]]</f>
        <v>200019</v>
      </c>
      <c r="J31" s="215" t="str">
        <f>Table18[[#This Row],[ITEM NAME]]</f>
        <v>MJ PANDAVANILLA 45GR</v>
      </c>
      <c r="K31" s="217"/>
    </row>
    <row r="32" spans="1:11" hidden="1">
      <c r="A32" s="214" t="s">
        <v>25</v>
      </c>
      <c r="B32" s="214" t="s">
        <v>7</v>
      </c>
      <c r="C32" s="215">
        <v>200024</v>
      </c>
      <c r="D32" s="215" t="s">
        <v>315</v>
      </c>
      <c r="E32" s="216"/>
      <c r="G32" s="214" t="str">
        <f>Table18[[#This Row],[KATEGORI]]</f>
        <v>SNACK</v>
      </c>
      <c r="H32" s="214" t="str">
        <f>Table18[[#This Row],[TYPE]]</f>
        <v>RETAIL</v>
      </c>
      <c r="I32" s="215">
        <f>Table18[[#This Row],[ITEM CODE]]</f>
        <v>200024</v>
      </c>
      <c r="J32" s="215" t="str">
        <f>Table18[[#This Row],[ITEM NAME]]</f>
        <v>TARO NET POTATO BBQ 40GR</v>
      </c>
      <c r="K32" s="217"/>
    </row>
    <row r="33" spans="1:11" hidden="1">
      <c r="A33" s="214" t="s">
        <v>25</v>
      </c>
      <c r="B33" s="214" t="s">
        <v>7</v>
      </c>
      <c r="C33" s="215">
        <v>200031</v>
      </c>
      <c r="D33" s="215" t="s">
        <v>265</v>
      </c>
      <c r="E33" s="216"/>
      <c r="G33" s="214" t="str">
        <f>Table18[[#This Row],[KATEGORI]]</f>
        <v>SNACK</v>
      </c>
      <c r="H33" s="214" t="str">
        <f>Table18[[#This Row],[TYPE]]</f>
        <v>RETAIL</v>
      </c>
      <c r="I33" s="215">
        <f>Table18[[#This Row],[ITEM CODE]]</f>
        <v>200031</v>
      </c>
      <c r="J33" s="215" t="str">
        <f>Table18[[#This Row],[ITEM NAME]]</f>
        <v>BENG BENG 25GR</v>
      </c>
      <c r="K33" s="217"/>
    </row>
    <row r="34" spans="1:11" hidden="1">
      <c r="A34" s="214" t="s">
        <v>25</v>
      </c>
      <c r="B34" s="214" t="s">
        <v>7</v>
      </c>
      <c r="C34" s="215">
        <v>200071</v>
      </c>
      <c r="D34" s="215" t="s">
        <v>430</v>
      </c>
      <c r="E34" s="216"/>
      <c r="G34" s="214" t="str">
        <f>Table18[[#This Row],[KATEGORI]]</f>
        <v>SNACK</v>
      </c>
      <c r="H34" s="214" t="str">
        <f>Table18[[#This Row],[TYPE]]</f>
        <v>RETAIL</v>
      </c>
      <c r="I34" s="215">
        <f>Table18[[#This Row],[ITEM CODE]]</f>
        <v>200071</v>
      </c>
      <c r="J34" s="215" t="str">
        <f>Table18[[#This Row],[ITEM NAME]]</f>
        <v>TKN CRIPSY BIGSHEET HOT SPC 4GR</v>
      </c>
      <c r="K34" s="217"/>
    </row>
    <row r="35" spans="1:11" hidden="1">
      <c r="A35" s="214" t="s">
        <v>25</v>
      </c>
      <c r="B35" s="214" t="s">
        <v>7</v>
      </c>
      <c r="C35" s="215">
        <v>200078</v>
      </c>
      <c r="D35" s="215" t="s">
        <v>612</v>
      </c>
      <c r="E35" s="216"/>
      <c r="G35" s="214" t="str">
        <f>Table18[[#This Row],[KATEGORI]]</f>
        <v>SNACK</v>
      </c>
      <c r="H35" s="214" t="str">
        <f>Table18[[#This Row],[TYPE]]</f>
        <v>RETAIL</v>
      </c>
      <c r="I35" s="215">
        <f>Table18[[#This Row],[ITEM CODE]]</f>
        <v>200078</v>
      </c>
      <c r="J35" s="215" t="str">
        <f>Table18[[#This Row],[ITEM NAME]]</f>
        <v>QTELA SINGKONG BALADO 60GR</v>
      </c>
      <c r="K35" s="217"/>
    </row>
    <row r="36" spans="1:11" hidden="1">
      <c r="A36" s="214" t="s">
        <v>25</v>
      </c>
      <c r="B36" s="214" t="s">
        <v>7</v>
      </c>
      <c r="C36" s="215">
        <v>200079</v>
      </c>
      <c r="D36" s="215" t="s">
        <v>332</v>
      </c>
      <c r="E36" s="216"/>
      <c r="G36" s="214" t="str">
        <f>Table18[[#This Row],[KATEGORI]]</f>
        <v>SNACK</v>
      </c>
      <c r="H36" s="214" t="str">
        <f>Table18[[#This Row],[TYPE]]</f>
        <v>RETAIL</v>
      </c>
      <c r="I36" s="215">
        <f>Table18[[#This Row],[ITEM CODE]]</f>
        <v>200079</v>
      </c>
      <c r="J36" s="215" t="str">
        <f>Table18[[#This Row],[ITEM NAME]]</f>
        <v>QTELA SINGKONG BARBEQUE 60GR</v>
      </c>
      <c r="K36" s="217"/>
    </row>
    <row r="37" spans="1:11" hidden="1">
      <c r="A37" s="214" t="s">
        <v>25</v>
      </c>
      <c r="B37" s="214" t="s">
        <v>7</v>
      </c>
      <c r="C37" s="215">
        <v>200080</v>
      </c>
      <c r="D37" s="215" t="s">
        <v>327</v>
      </c>
      <c r="E37" s="216"/>
      <c r="G37" s="214" t="str">
        <f>Table18[[#This Row],[KATEGORI]]</f>
        <v>SNACK</v>
      </c>
      <c r="H37" s="214" t="str">
        <f>Table18[[#This Row],[TYPE]]</f>
        <v>RETAIL</v>
      </c>
      <c r="I37" s="215">
        <f>Table18[[#This Row],[ITEM CODE]]</f>
        <v>200080</v>
      </c>
      <c r="J37" s="215" t="str">
        <f>Table18[[#This Row],[ITEM NAME]]</f>
        <v>LAYS RUMPUT LAUT 35GR</v>
      </c>
      <c r="K37" s="217"/>
    </row>
    <row r="38" spans="1:11" hidden="1">
      <c r="A38" s="218" t="s">
        <v>25</v>
      </c>
      <c r="B38" s="214" t="s">
        <v>7</v>
      </c>
      <c r="C38" s="215">
        <v>200082</v>
      </c>
      <c r="D38" s="215" t="s">
        <v>450</v>
      </c>
      <c r="E38" s="216"/>
      <c r="G38" s="214" t="str">
        <f>Table18[[#This Row],[KATEGORI]]</f>
        <v>SNACK</v>
      </c>
      <c r="H38" s="214" t="str">
        <f>Table18[[#This Row],[TYPE]]</f>
        <v>RETAIL</v>
      </c>
      <c r="I38" s="215">
        <f>Table18[[#This Row],[ITEM CODE]]</f>
        <v>200082</v>
      </c>
      <c r="J38" s="215" t="str">
        <f>Table18[[#This Row],[ITEM NAME]]</f>
        <v>QTELA TEMPE CABE RAWIT 60GR</v>
      </c>
      <c r="K38" s="217"/>
    </row>
    <row r="39" spans="1:11" hidden="1">
      <c r="A39" s="218" t="s">
        <v>25</v>
      </c>
      <c r="B39" s="214" t="s">
        <v>7</v>
      </c>
      <c r="C39" s="215">
        <v>200086</v>
      </c>
      <c r="D39" s="215" t="s">
        <v>317</v>
      </c>
      <c r="E39" s="216"/>
      <c r="G39" s="214" t="str">
        <f>Table18[[#This Row],[KATEGORI]]</f>
        <v>SNACK</v>
      </c>
      <c r="H39" s="214" t="str">
        <f>Table18[[#This Row],[TYPE]]</f>
        <v>RETAIL</v>
      </c>
      <c r="I39" s="215">
        <f>Table18[[#This Row],[ITEM CODE]]</f>
        <v>200086</v>
      </c>
      <c r="J39" s="215" t="str">
        <f>Table18[[#This Row],[ITEM NAME]]</f>
        <v>TARO NET SEAWEED 40GR</v>
      </c>
      <c r="K39" s="217"/>
    </row>
    <row r="40" spans="1:11" hidden="1">
      <c r="A40" s="214" t="s">
        <v>25</v>
      </c>
      <c r="B40" s="214" t="s">
        <v>7</v>
      </c>
      <c r="C40" s="215">
        <v>200099</v>
      </c>
      <c r="D40" s="215" t="s">
        <v>845</v>
      </c>
      <c r="E40" s="216"/>
      <c r="G40" s="214" t="str">
        <f>Table18[[#This Row],[KATEGORI]]</f>
        <v>SNACK</v>
      </c>
      <c r="H40" s="214" t="str">
        <f>Table18[[#This Row],[TYPE]]</f>
        <v>RETAIL</v>
      </c>
      <c r="I40" s="215">
        <f>Table18[[#This Row],[ITEM CODE]]</f>
        <v>200099</v>
      </c>
      <c r="J40" s="215" t="str">
        <f>Table18[[#This Row],[ITEM NAME]]</f>
        <v>DfCHACHAMILKCHOC40GR</v>
      </c>
      <c r="K40" s="217"/>
    </row>
    <row r="41" spans="1:11" hidden="1">
      <c r="A41" s="214" t="s">
        <v>25</v>
      </c>
      <c r="B41" s="214" t="s">
        <v>7</v>
      </c>
      <c r="C41" s="215">
        <v>200112</v>
      </c>
      <c r="D41" s="215" t="s">
        <v>736</v>
      </c>
      <c r="E41" s="216"/>
      <c r="G41" s="214" t="str">
        <f>Table18[[#This Row],[KATEGORI]]</f>
        <v>SNACK</v>
      </c>
      <c r="H41" s="214" t="str">
        <f>Table18[[#This Row],[TYPE]]</f>
        <v>RETAIL</v>
      </c>
      <c r="I41" s="215">
        <f>Table18[[#This Row],[ITEM CODE]]</f>
        <v>200112</v>
      </c>
      <c r="J41" s="215" t="str">
        <f>Table18[[#This Row],[ITEM NAME]]</f>
        <v>OREO BISCUIT STRAWBERRY 29,4GR</v>
      </c>
      <c r="K41" s="217"/>
    </row>
    <row r="42" spans="1:11" hidden="1">
      <c r="A42" s="218" t="s">
        <v>25</v>
      </c>
      <c r="B42" s="214" t="s">
        <v>7</v>
      </c>
      <c r="C42" s="215">
        <v>200116</v>
      </c>
      <c r="D42" s="215" t="s">
        <v>428</v>
      </c>
      <c r="E42" s="216"/>
      <c r="G42" s="214" t="str">
        <f>Table18[[#This Row],[KATEGORI]]</f>
        <v>SNACK</v>
      </c>
      <c r="H42" s="214" t="str">
        <f>Table18[[#This Row],[TYPE]]</f>
        <v>RETAIL</v>
      </c>
      <c r="I42" s="215">
        <f>Table18[[#This Row],[ITEM CODE]]</f>
        <v>200116</v>
      </c>
      <c r="J42" s="215" t="str">
        <f>Table18[[#This Row],[ITEM NAME]]</f>
        <v>DF CHAHCHA PEANUT 40GR</v>
      </c>
      <c r="K42" s="217"/>
    </row>
    <row r="43" spans="1:11" hidden="1">
      <c r="A43" s="214" t="s">
        <v>25</v>
      </c>
      <c r="B43" s="214" t="s">
        <v>7</v>
      </c>
      <c r="C43" s="215">
        <v>200205</v>
      </c>
      <c r="D43" s="215" t="s">
        <v>614</v>
      </c>
      <c r="E43" s="216"/>
      <c r="G43" s="214" t="str">
        <f>Table18[[#This Row],[KATEGORI]]</f>
        <v>SNACK</v>
      </c>
      <c r="H43" s="214" t="str">
        <f>Table18[[#This Row],[TYPE]]</f>
        <v>RETAIL</v>
      </c>
      <c r="I43" s="215">
        <f>Table18[[#This Row],[ITEM CODE]]</f>
        <v>200205</v>
      </c>
      <c r="J43" s="215" t="str">
        <f>Table18[[#This Row],[ITEM NAME]]</f>
        <v>CHIKI BALL COKLAT 10GR</v>
      </c>
      <c r="K43" s="217"/>
    </row>
    <row r="44" spans="1:11" hidden="1">
      <c r="A44" s="218" t="s">
        <v>25</v>
      </c>
      <c r="B44" s="214" t="s">
        <v>7</v>
      </c>
      <c r="C44" s="215">
        <v>200213</v>
      </c>
      <c r="D44" s="215" t="s">
        <v>615</v>
      </c>
      <c r="E44" s="216"/>
      <c r="G44" s="214" t="str">
        <f>Table18[[#This Row],[KATEGORI]]</f>
        <v>SNACK</v>
      </c>
      <c r="H44" s="214" t="str">
        <f>Table18[[#This Row],[TYPE]]</f>
        <v>RETAIL</v>
      </c>
      <c r="I44" s="215">
        <f>Table18[[#This Row],[ITEM CODE]]</f>
        <v>200213</v>
      </c>
      <c r="J44" s="215" t="str">
        <f>Table18[[#This Row],[ITEM NAME]]</f>
        <v>GARUDAROSTA KACANG OVEN BAWANG 40GR</v>
      </c>
      <c r="K44" s="217"/>
    </row>
    <row r="45" spans="1:11" hidden="1">
      <c r="A45" s="218" t="s">
        <v>25</v>
      </c>
      <c r="B45" s="214" t="s">
        <v>7</v>
      </c>
      <c r="C45" s="215">
        <v>200220</v>
      </c>
      <c r="D45" s="215" t="s">
        <v>617</v>
      </c>
      <c r="E45" s="216"/>
      <c r="G45" s="214" t="str">
        <f>Table18[[#This Row],[KATEGORI]]</f>
        <v>SNACK</v>
      </c>
      <c r="H45" s="214" t="str">
        <f>Table18[[#This Row],[TYPE]]</f>
        <v>RETAIL</v>
      </c>
      <c r="I45" s="215">
        <f>Table18[[#This Row],[ITEM CODE]]</f>
        <v>200220</v>
      </c>
      <c r="J45" s="215" t="str">
        <f>Table18[[#This Row],[ITEM NAME]]</f>
        <v>CHIKI BALLS RASA KEJU 10GR</v>
      </c>
      <c r="K45" s="217"/>
    </row>
    <row r="46" spans="1:11" hidden="1">
      <c r="A46" s="218" t="s">
        <v>25</v>
      </c>
      <c r="B46" s="214" t="s">
        <v>7</v>
      </c>
      <c r="C46" s="215">
        <v>200223</v>
      </c>
      <c r="D46" s="215" t="s">
        <v>618</v>
      </c>
      <c r="E46" s="216"/>
      <c r="G46" s="214" t="str">
        <f>Table18[[#This Row],[KATEGORI]]</f>
        <v>SNACK</v>
      </c>
      <c r="H46" s="214" t="str">
        <f>Table18[[#This Row],[TYPE]]</f>
        <v>RETAIL</v>
      </c>
      <c r="I46" s="215">
        <f>Table18[[#This Row],[ITEM CODE]]</f>
        <v>200223</v>
      </c>
      <c r="J46" s="215" t="str">
        <f>Table18[[#This Row],[ITEM NAME]]</f>
        <v>CHOCOLATOS GRANDE 16GR</v>
      </c>
      <c r="K46" s="217"/>
    </row>
    <row r="47" spans="1:11" hidden="1">
      <c r="A47" s="218" t="s">
        <v>25</v>
      </c>
      <c r="B47" s="214" t="s">
        <v>7</v>
      </c>
      <c r="C47" s="215">
        <v>200224</v>
      </c>
      <c r="D47" s="215" t="s">
        <v>619</v>
      </c>
      <c r="E47" s="216"/>
      <c r="G47" s="214" t="str">
        <f>Table18[[#This Row],[KATEGORI]]</f>
        <v>SNACK</v>
      </c>
      <c r="H47" s="214" t="str">
        <f>Table18[[#This Row],[TYPE]]</f>
        <v>RETAIL</v>
      </c>
      <c r="I47" s="215">
        <f>Table18[[#This Row],[ITEM CODE]]</f>
        <v>200224</v>
      </c>
      <c r="J47" s="215" t="str">
        <f>Table18[[#This Row],[ITEM NAME]]</f>
        <v>CHOCOLATOS DARK 16GR</v>
      </c>
      <c r="K47" s="217"/>
    </row>
    <row r="48" spans="1:11" hidden="1">
      <c r="A48" s="214" t="s">
        <v>25</v>
      </c>
      <c r="B48" s="214" t="s">
        <v>7</v>
      </c>
      <c r="C48" s="215">
        <v>200262</v>
      </c>
      <c r="D48" s="215" t="s">
        <v>738</v>
      </c>
      <c r="E48" s="216"/>
      <c r="G48" s="214" t="str">
        <f>Table18[[#This Row],[KATEGORI]]</f>
        <v>SNACK</v>
      </c>
      <c r="H48" s="214" t="str">
        <f>Table18[[#This Row],[TYPE]]</f>
        <v>RETAIL</v>
      </c>
      <c r="I48" s="215">
        <f>Table18[[#This Row],[ITEM CODE]]</f>
        <v>200262</v>
      </c>
      <c r="J48" s="215" t="str">
        <f>Table18[[#This Row],[ITEM NAME]]</f>
        <v>OREO ICE CREAM BLUBERRY 29.4GR</v>
      </c>
      <c r="K48" s="217"/>
    </row>
    <row r="49" spans="1:11" s="219" customFormat="1" hidden="1">
      <c r="A49" s="214" t="s">
        <v>25</v>
      </c>
      <c r="B49" s="214" t="s">
        <v>7</v>
      </c>
      <c r="C49" s="215">
        <v>200266</v>
      </c>
      <c r="D49" s="215" t="s">
        <v>330</v>
      </c>
      <c r="E49" s="216"/>
      <c r="G49" s="214" t="str">
        <f>Table18[[#This Row],[KATEGORI]]</f>
        <v>SNACK</v>
      </c>
      <c r="H49" s="214" t="str">
        <f>Table18[[#This Row],[TYPE]]</f>
        <v>RETAIL</v>
      </c>
      <c r="I49" s="215">
        <f>Table18[[#This Row],[ITEM CODE]]</f>
        <v>200266</v>
      </c>
      <c r="J49" s="215" t="str">
        <f>Table18[[#This Row],[ITEM NAME]]</f>
        <v>CHEETOS SEAWED 40 G</v>
      </c>
      <c r="K49" s="217"/>
    </row>
    <row r="50" spans="1:11" s="219" customFormat="1" hidden="1">
      <c r="A50" s="218" t="s">
        <v>25</v>
      </c>
      <c r="B50" s="214" t="s">
        <v>7</v>
      </c>
      <c r="C50" s="215">
        <v>200285</v>
      </c>
      <c r="D50" s="215" t="s">
        <v>740</v>
      </c>
      <c r="E50" s="216"/>
      <c r="G50" s="214" t="str">
        <f>Table18[[#This Row],[KATEGORI]]</f>
        <v>SNACK</v>
      </c>
      <c r="H50" s="214" t="str">
        <f>Table18[[#This Row],[TYPE]]</f>
        <v>RETAIL</v>
      </c>
      <c r="I50" s="215">
        <f>Table18[[#This Row],[ITEM CODE]]</f>
        <v>200285</v>
      </c>
      <c r="J50" s="215" t="str">
        <f>Table18[[#This Row],[ITEM NAME]]</f>
        <v>OREO BISCUIT VANILLA 29.4GR</v>
      </c>
      <c r="K50" s="217"/>
    </row>
    <row r="51" spans="1:11" s="219" customFormat="1" hidden="1">
      <c r="A51" s="218" t="s">
        <v>25</v>
      </c>
      <c r="B51" s="214" t="s">
        <v>7</v>
      </c>
      <c r="C51" s="215">
        <v>200289</v>
      </c>
      <c r="D51" s="215" t="s">
        <v>556</v>
      </c>
      <c r="E51" s="216"/>
      <c r="G51" s="214" t="str">
        <f>Table18[[#This Row],[KATEGORI]]</f>
        <v>SNACK</v>
      </c>
      <c r="H51" s="214" t="str">
        <f>Table18[[#This Row],[TYPE]]</f>
        <v>RETAIL</v>
      </c>
      <c r="I51" s="215">
        <f>Table18[[#This Row],[ITEM CODE]]</f>
        <v>200289</v>
      </c>
      <c r="J51" s="215" t="str">
        <f>Table18[[#This Row],[ITEM NAME]]</f>
        <v>GLICO POCKY CHOCOLATE STICK 47GR</v>
      </c>
      <c r="K51" s="217"/>
    </row>
    <row r="52" spans="1:11" s="219" customFormat="1" hidden="1">
      <c r="A52" s="214" t="s">
        <v>25</v>
      </c>
      <c r="B52" s="214" t="s">
        <v>7</v>
      </c>
      <c r="C52" s="215">
        <v>200290</v>
      </c>
      <c r="D52" s="215" t="s">
        <v>557</v>
      </c>
      <c r="E52" s="216"/>
      <c r="G52" s="214" t="str">
        <f>Table18[[#This Row],[KATEGORI]]</f>
        <v>SNACK</v>
      </c>
      <c r="H52" s="214" t="str">
        <f>Table18[[#This Row],[TYPE]]</f>
        <v>RETAIL</v>
      </c>
      <c r="I52" s="215">
        <f>Table18[[#This Row],[ITEM CODE]]</f>
        <v>200290</v>
      </c>
      <c r="J52" s="215" t="str">
        <f>Table18[[#This Row],[ITEM NAME]]</f>
        <v>GLICO POCKY STRAWBERRY STICK 47GR</v>
      </c>
      <c r="K52" s="217"/>
    </row>
    <row r="53" spans="1:11" s="219" customFormat="1" hidden="1">
      <c r="A53" s="214" t="s">
        <v>25</v>
      </c>
      <c r="B53" s="214" t="s">
        <v>7</v>
      </c>
      <c r="C53" s="215">
        <v>200291</v>
      </c>
      <c r="D53" s="215" t="s">
        <v>621</v>
      </c>
      <c r="E53" s="216"/>
      <c r="G53" s="214" t="str">
        <f>Table18[[#This Row],[KATEGORI]]</f>
        <v>SNACK</v>
      </c>
      <c r="H53" s="214" t="str">
        <f>Table18[[#This Row],[TYPE]]</f>
        <v>RETAIL</v>
      </c>
      <c r="I53" s="215">
        <f>Table18[[#This Row],[ITEM CODE]]</f>
        <v>200291</v>
      </c>
      <c r="J53" s="215" t="str">
        <f>Table18[[#This Row],[ITEM NAME]]</f>
        <v>GLICO POCKY DOUBLE CHOCOLATE 47GR</v>
      </c>
      <c r="K53" s="217"/>
    </row>
    <row r="54" spans="1:11" s="219" customFormat="1" hidden="1">
      <c r="A54" s="218" t="s">
        <v>25</v>
      </c>
      <c r="B54" s="214" t="s">
        <v>7</v>
      </c>
      <c r="C54" s="215">
        <v>200292</v>
      </c>
      <c r="D54" s="215" t="s">
        <v>183</v>
      </c>
      <c r="E54" s="216"/>
      <c r="G54" s="214" t="str">
        <f>Table18[[#This Row],[KATEGORI]]</f>
        <v>SNACK</v>
      </c>
      <c r="H54" s="214" t="str">
        <f>Table18[[#This Row],[TYPE]]</f>
        <v>RETAIL</v>
      </c>
      <c r="I54" s="215">
        <f>Table18[[#This Row],[ITEM CODE]]</f>
        <v>200292</v>
      </c>
      <c r="J54" s="215" t="str">
        <f>Table18[[#This Row],[ITEM NAME]]</f>
        <v>GLICO POCKY GREEN TEA STICK 33GR</v>
      </c>
      <c r="K54" s="217"/>
    </row>
    <row r="55" spans="1:11" s="219" customFormat="1" hidden="1">
      <c r="A55" s="218" t="s">
        <v>25</v>
      </c>
      <c r="B55" s="214" t="s">
        <v>7</v>
      </c>
      <c r="C55" s="215">
        <v>200310</v>
      </c>
      <c r="D55" s="215" t="s">
        <v>316</v>
      </c>
      <c r="E55" s="216"/>
      <c r="G55" s="214" t="str">
        <f>Table18[[#This Row],[KATEGORI]]</f>
        <v>SNACK</v>
      </c>
      <c r="H55" s="214" t="str">
        <f>Table18[[#This Row],[TYPE]]</f>
        <v>RETAIL</v>
      </c>
      <c r="I55" s="215">
        <f>Table18[[#This Row],[ITEM CODE]]</f>
        <v>200310</v>
      </c>
      <c r="J55" s="215" t="str">
        <f>Table18[[#This Row],[ITEM NAME]]</f>
        <v>CHEETOS NET BBQ 40GR</v>
      </c>
      <c r="K55" s="217"/>
    </row>
    <row r="56" spans="1:11" s="219" customFormat="1" hidden="1">
      <c r="A56" s="218" t="s">
        <v>25</v>
      </c>
      <c r="B56" s="214" t="s">
        <v>7</v>
      </c>
      <c r="C56" s="215">
        <v>200324</v>
      </c>
      <c r="D56" s="215" t="s">
        <v>624</v>
      </c>
      <c r="E56" s="216"/>
      <c r="G56" s="214" t="str">
        <f>Table18[[#This Row],[KATEGORI]]</f>
        <v>SNACK</v>
      </c>
      <c r="H56" s="214" t="str">
        <f>Table18[[#This Row],[TYPE]]</f>
        <v>RETAIL</v>
      </c>
      <c r="I56" s="215">
        <f>Table18[[#This Row],[ITEM CODE]]</f>
        <v>200324</v>
      </c>
      <c r="J56" s="215" t="str">
        <f>Table18[[#This Row],[ITEM NAME]]</f>
        <v>GARUDA KACANG TELUR 22GR</v>
      </c>
      <c r="K56" s="217"/>
    </row>
    <row r="57" spans="1:11" s="219" customFormat="1" hidden="1">
      <c r="A57" s="214" t="s">
        <v>25</v>
      </c>
      <c r="B57" s="214" t="s">
        <v>7</v>
      </c>
      <c r="C57" s="215">
        <v>200333</v>
      </c>
      <c r="D57" s="215" t="s">
        <v>335</v>
      </c>
      <c r="E57" s="216"/>
      <c r="G57" s="214" t="str">
        <f>Table18[[#This Row],[KATEGORI]]</f>
        <v>SNACK</v>
      </c>
      <c r="H57" s="214" t="str">
        <f>Table18[[#This Row],[TYPE]]</f>
        <v>RETAIL</v>
      </c>
      <c r="I57" s="215">
        <f>Table18[[#This Row],[ITEM CODE]]</f>
        <v>200333</v>
      </c>
      <c r="J57" s="215" t="str">
        <f>Table18[[#This Row],[ITEM NAME]]</f>
        <v>QTELA TEMPE ORIGINAL 60GR</v>
      </c>
      <c r="K57" s="217"/>
    </row>
    <row r="58" spans="1:11" s="219" customFormat="1" hidden="1">
      <c r="A58" s="218" t="s">
        <v>25</v>
      </c>
      <c r="B58" s="214" t="s">
        <v>7</v>
      </c>
      <c r="C58" s="215">
        <v>200381</v>
      </c>
      <c r="D58" s="215" t="s">
        <v>628</v>
      </c>
      <c r="E58" s="216"/>
      <c r="G58" s="214" t="str">
        <f>Table18[[#This Row],[KATEGORI]]</f>
        <v>SNACK</v>
      </c>
      <c r="H58" s="214" t="str">
        <f>Table18[[#This Row],[TYPE]]</f>
        <v>RETAIL</v>
      </c>
      <c r="I58" s="215">
        <f>Table18[[#This Row],[ITEM CODE]]</f>
        <v>200381</v>
      </c>
      <c r="J58" s="215" t="str">
        <f>Table18[[#This Row],[ITEM NAME]]</f>
        <v>TIC TAC RS SAPI PANGGANG 23G</v>
      </c>
      <c r="K58" s="217"/>
    </row>
    <row r="59" spans="1:11" s="219" customFormat="1" hidden="1">
      <c r="A59" s="214" t="s">
        <v>25</v>
      </c>
      <c r="B59" s="214" t="s">
        <v>7</v>
      </c>
      <c r="C59" s="215">
        <v>200382</v>
      </c>
      <c r="D59" s="215" t="s">
        <v>629</v>
      </c>
      <c r="E59" s="216"/>
      <c r="G59" s="214" t="str">
        <f>Table18[[#This Row],[KATEGORI]]</f>
        <v>SNACK</v>
      </c>
      <c r="H59" s="214" t="str">
        <f>Table18[[#This Row],[TYPE]]</f>
        <v>RETAIL</v>
      </c>
      <c r="I59" s="215">
        <f>Table18[[#This Row],[ITEM CODE]]</f>
        <v>200382</v>
      </c>
      <c r="J59" s="215" t="str">
        <f>Table18[[#This Row],[ITEM NAME]]</f>
        <v>TIC TAC RS PEDAS 23G</v>
      </c>
      <c r="K59" s="217"/>
    </row>
    <row r="60" spans="1:11" s="219" customFormat="1" hidden="1">
      <c r="A60" s="218" t="s">
        <v>25</v>
      </c>
      <c r="B60" s="214" t="s">
        <v>7</v>
      </c>
      <c r="C60" s="215">
        <v>200387</v>
      </c>
      <c r="D60" s="215" t="s">
        <v>631</v>
      </c>
      <c r="E60" s="216"/>
      <c r="G60" s="214" t="str">
        <f>Table18[[#This Row],[KATEGORI]]</f>
        <v>SNACK</v>
      </c>
      <c r="H60" s="214" t="str">
        <f>Table18[[#This Row],[TYPE]]</f>
        <v>RETAIL</v>
      </c>
      <c r="I60" s="215">
        <f>Table18[[#This Row],[ITEM CODE]]</f>
        <v>200387</v>
      </c>
      <c r="J60" s="215" t="str">
        <f>Table18[[#This Row],[ITEM NAME]]</f>
        <v>TIC TAC RS AYAM BAWANG 23G</v>
      </c>
      <c r="K60" s="217"/>
    </row>
    <row r="61" spans="1:11" s="219" customFormat="1" hidden="1">
      <c r="A61" s="218" t="s">
        <v>25</v>
      </c>
      <c r="B61" s="214" t="s">
        <v>7</v>
      </c>
      <c r="C61" s="215">
        <v>200389</v>
      </c>
      <c r="D61" s="215" t="s">
        <v>632</v>
      </c>
      <c r="E61" s="216"/>
      <c r="G61" s="214" t="str">
        <f>Table18[[#This Row],[KATEGORI]]</f>
        <v>SNACK</v>
      </c>
      <c r="H61" s="214" t="str">
        <f>Table18[[#This Row],[TYPE]]</f>
        <v>RETAIL</v>
      </c>
      <c r="I61" s="215">
        <f>Table18[[#This Row],[ITEM CODE]]</f>
        <v>200389</v>
      </c>
      <c r="J61" s="215" t="str">
        <f>Table18[[#This Row],[ITEM NAME]]</f>
        <v>OREO SOFTCAKE 16G</v>
      </c>
      <c r="K61" s="217"/>
    </row>
    <row r="62" spans="1:11" s="219" customFormat="1" hidden="1">
      <c r="A62" s="218" t="s">
        <v>25</v>
      </c>
      <c r="B62" s="214" t="s">
        <v>7</v>
      </c>
      <c r="C62" s="215">
        <v>200391</v>
      </c>
      <c r="D62" s="215" t="s">
        <v>633</v>
      </c>
      <c r="E62" s="216"/>
      <c r="G62" s="214" t="str">
        <f>Table18[[#This Row],[KATEGORI]]</f>
        <v>SNACK</v>
      </c>
      <c r="H62" s="214" t="str">
        <f>Table18[[#This Row],[TYPE]]</f>
        <v>RETAIL</v>
      </c>
      <c r="I62" s="215">
        <f>Table18[[#This Row],[ITEM CODE]]</f>
        <v>200391</v>
      </c>
      <c r="J62" s="215" t="str">
        <f>Table18[[#This Row],[ITEM NAME]]</f>
        <v>KRAFT KEJU CAKE 16GR</v>
      </c>
      <c r="K62" s="217"/>
    </row>
    <row r="63" spans="1:11" s="219" customFormat="1" hidden="1">
      <c r="A63" s="218" t="s">
        <v>25</v>
      </c>
      <c r="B63" s="214" t="s">
        <v>7</v>
      </c>
      <c r="C63" s="215">
        <v>200397</v>
      </c>
      <c r="D63" s="215" t="s">
        <v>634</v>
      </c>
      <c r="E63" s="216"/>
      <c r="G63" s="214" t="str">
        <f>Table18[[#This Row],[KATEGORI]]</f>
        <v>SNACK</v>
      </c>
      <c r="H63" s="214" t="str">
        <f>Table18[[#This Row],[TYPE]]</f>
        <v>RETAIL</v>
      </c>
      <c r="I63" s="215">
        <f>Table18[[#This Row],[ITEM CODE]]</f>
        <v>200397</v>
      </c>
      <c r="J63" s="215" t="str">
        <f>Table18[[#This Row],[ITEM NAME]]</f>
        <v>GLICO POCKY CHOCO BANANA 47GR</v>
      </c>
      <c r="K63" s="217"/>
    </row>
    <row r="64" spans="1:11" s="219" customFormat="1" hidden="1">
      <c r="A64" s="218" t="s">
        <v>25</v>
      </c>
      <c r="B64" s="214" t="s">
        <v>7</v>
      </c>
      <c r="C64" s="215">
        <v>200396</v>
      </c>
      <c r="D64" s="215" t="s">
        <v>318</v>
      </c>
      <c r="E64" s="216"/>
      <c r="G64" s="214" t="str">
        <f>Table18[[#This Row],[KATEGORI]]</f>
        <v>SNACK</v>
      </c>
      <c r="H64" s="214" t="str">
        <f>Table18[[#This Row],[TYPE]]</f>
        <v>RETAIL</v>
      </c>
      <c r="I64" s="215">
        <f>Table18[[#This Row],[ITEM CODE]]</f>
        <v>200396</v>
      </c>
      <c r="J64" s="215" t="str">
        <f>Table18[[#This Row],[ITEM NAME]]</f>
        <v>JETZ CHOCO FIESTA 40GR</v>
      </c>
      <c r="K64" s="217"/>
    </row>
    <row r="65" spans="1:11" s="219" customFormat="1" hidden="1">
      <c r="A65" s="218" t="s">
        <v>25</v>
      </c>
      <c r="B65" s="214" t="s">
        <v>7</v>
      </c>
      <c r="C65" s="215">
        <v>200400</v>
      </c>
      <c r="D65" s="215" t="s">
        <v>635</v>
      </c>
      <c r="E65" s="216"/>
      <c r="G65" s="214" t="str">
        <f>Table18[[#This Row],[KATEGORI]]</f>
        <v>SNACK</v>
      </c>
      <c r="H65" s="214" t="str">
        <f>Table18[[#This Row],[TYPE]]</f>
        <v>RETAIL</v>
      </c>
      <c r="I65" s="215">
        <f>Table18[[#This Row],[ITEM CODE]]</f>
        <v>200400</v>
      </c>
      <c r="J65" s="215" t="str">
        <f>Table18[[#This Row],[ITEM NAME]]</f>
        <v>MOMOGI JAGUNG BAKAR 10G</v>
      </c>
      <c r="K65" s="217"/>
    </row>
    <row r="66" spans="1:11" s="219" customFormat="1" hidden="1">
      <c r="A66" s="218" t="s">
        <v>25</v>
      </c>
      <c r="B66" s="214" t="s">
        <v>7</v>
      </c>
      <c r="C66" s="215">
        <v>200398</v>
      </c>
      <c r="D66" s="215" t="s">
        <v>191</v>
      </c>
      <c r="E66" s="216"/>
      <c r="G66" s="214" t="str">
        <f>Table18[[#This Row],[KATEGORI]]</f>
        <v>SNACK</v>
      </c>
      <c r="H66" s="214" t="str">
        <f>Table18[[#This Row],[TYPE]]</f>
        <v>RETAIL</v>
      </c>
      <c r="I66" s="215">
        <f>Table18[[#This Row],[ITEM CODE]]</f>
        <v>200398</v>
      </c>
      <c r="J66" s="215" t="str">
        <f>Table18[[#This Row],[ITEM NAME]]</f>
        <v>CHOKI CASHEW BOX 11GR</v>
      </c>
      <c r="K66" s="217"/>
    </row>
    <row r="67" spans="1:11" s="219" customFormat="1" hidden="1">
      <c r="A67" s="218" t="s">
        <v>25</v>
      </c>
      <c r="B67" s="214" t="s">
        <v>7</v>
      </c>
      <c r="C67" s="215">
        <v>200406</v>
      </c>
      <c r="D67" s="215" t="s">
        <v>636</v>
      </c>
      <c r="E67" s="216"/>
      <c r="G67" s="214" t="str">
        <f>Table18[[#This Row],[KATEGORI]]</f>
        <v>SNACK</v>
      </c>
      <c r="H67" s="214" t="str">
        <f>Table18[[#This Row],[TYPE]]</f>
        <v>RETAIL</v>
      </c>
      <c r="I67" s="215">
        <f>Table18[[#This Row],[ITEM CODE]]</f>
        <v>200406</v>
      </c>
      <c r="J67" s="215" t="str">
        <f>Table18[[#This Row],[ITEM NAME]]</f>
        <v>MOMOGI KEJU 10 GR</v>
      </c>
      <c r="K67" s="217"/>
    </row>
    <row r="68" spans="1:11" s="219" customFormat="1" hidden="1">
      <c r="A68" s="218" t="s">
        <v>25</v>
      </c>
      <c r="B68" s="214" t="s">
        <v>7</v>
      </c>
      <c r="C68" s="215">
        <v>200408</v>
      </c>
      <c r="D68" s="215" t="s">
        <v>637</v>
      </c>
      <c r="E68" s="216"/>
      <c r="G68" s="214" t="str">
        <f>Table18[[#This Row],[KATEGORI]]</f>
        <v>SNACK</v>
      </c>
      <c r="H68" s="214" t="str">
        <f>Table18[[#This Row],[TYPE]]</f>
        <v>RETAIL</v>
      </c>
      <c r="I68" s="215">
        <f>Table18[[#This Row],[ITEM CODE]]</f>
        <v>200408</v>
      </c>
      <c r="J68" s="215" t="str">
        <f>Table18[[#This Row],[ITEM NAME]]</f>
        <v>MOMOGI COKLAT 8G</v>
      </c>
      <c r="K68" s="217"/>
    </row>
    <row r="69" spans="1:11" s="219" customFormat="1" hidden="1">
      <c r="A69" s="218" t="s">
        <v>25</v>
      </c>
      <c r="B69" s="214" t="s">
        <v>7</v>
      </c>
      <c r="C69" s="215">
        <v>200415</v>
      </c>
      <c r="D69" s="215" t="s">
        <v>184</v>
      </c>
      <c r="E69" s="216"/>
      <c r="G69" s="214" t="str">
        <f>Table18[[#This Row],[KATEGORI]]</f>
        <v>SNACK</v>
      </c>
      <c r="H69" s="214" t="str">
        <f>Table18[[#This Row],[TYPE]]</f>
        <v>RETAIL</v>
      </c>
      <c r="I69" s="215">
        <f>Table18[[#This Row],[ITEM CODE]]</f>
        <v>200415</v>
      </c>
      <c r="J69" s="215" t="str">
        <f>Table18[[#This Row],[ITEM NAME]]</f>
        <v>GLICO POCKY COOKIES &amp; CREAM 47GR</v>
      </c>
      <c r="K69" s="217"/>
    </row>
    <row r="70" spans="1:11" s="219" customFormat="1" hidden="1">
      <c r="A70" s="218" t="s">
        <v>25</v>
      </c>
      <c r="B70" s="214" t="s">
        <v>7</v>
      </c>
      <c r="C70" s="215">
        <v>200418</v>
      </c>
      <c r="D70" s="215" t="s">
        <v>638</v>
      </c>
      <c r="E70" s="216"/>
      <c r="G70" s="214" t="str">
        <f>Table18[[#This Row],[KATEGORI]]</f>
        <v>SNACK</v>
      </c>
      <c r="H70" s="214" t="str">
        <f>Table18[[#This Row],[TYPE]]</f>
        <v>RETAIL</v>
      </c>
      <c r="I70" s="215">
        <f>Table18[[#This Row],[ITEM CODE]]</f>
        <v>200418</v>
      </c>
      <c r="J70" s="215" t="str">
        <f>Table18[[#This Row],[ITEM NAME]]</f>
        <v>MAYASI KACANG PEDAS 12GR</v>
      </c>
      <c r="K70" s="217"/>
    </row>
    <row r="71" spans="1:11" s="219" customFormat="1" hidden="1">
      <c r="A71" s="218" t="s">
        <v>25</v>
      </c>
      <c r="B71" s="214" t="s">
        <v>7</v>
      </c>
      <c r="C71" s="215">
        <v>200419</v>
      </c>
      <c r="D71" s="215" t="s">
        <v>639</v>
      </c>
      <c r="E71" s="216"/>
      <c r="G71" s="214" t="str">
        <f>Table18[[#This Row],[KATEGORI]]</f>
        <v>SNACK</v>
      </c>
      <c r="H71" s="214" t="str">
        <f>Table18[[#This Row],[TYPE]]</f>
        <v>RETAIL</v>
      </c>
      <c r="I71" s="215">
        <f>Table18[[#This Row],[ITEM CODE]]</f>
        <v>200419</v>
      </c>
      <c r="J71" s="215" t="str">
        <f>Table18[[#This Row],[ITEM NAME]]</f>
        <v>MAYASI KACANG VEN BWG 12GR</v>
      </c>
      <c r="K71" s="217"/>
    </row>
    <row r="72" spans="1:11" s="219" customFormat="1" hidden="1">
      <c r="A72" s="218" t="s">
        <v>25</v>
      </c>
      <c r="B72" s="214" t="s">
        <v>7</v>
      </c>
      <c r="C72" s="215">
        <v>200424</v>
      </c>
      <c r="D72" s="215" t="s">
        <v>640</v>
      </c>
      <c r="E72" s="216"/>
      <c r="G72" s="214" t="str">
        <f>Table18[[#This Row],[KATEGORI]]</f>
        <v>SNACK</v>
      </c>
      <c r="H72" s="214" t="str">
        <f>Table18[[#This Row],[TYPE]]</f>
        <v>RETAIL</v>
      </c>
      <c r="I72" s="215">
        <f>Table18[[#This Row],[ITEM CODE]]</f>
        <v>200424</v>
      </c>
      <c r="J72" s="215" t="str">
        <f>Table18[[#This Row],[ITEM NAME]]</f>
        <v>TICTAC MIX 26GR</v>
      </c>
      <c r="K72" s="217"/>
    </row>
    <row r="73" spans="1:11" s="219" customFormat="1" hidden="1">
      <c r="A73" s="218" t="s">
        <v>25</v>
      </c>
      <c r="B73" s="214" t="s">
        <v>7</v>
      </c>
      <c r="C73" s="215">
        <v>200427</v>
      </c>
      <c r="D73" s="215" t="s">
        <v>641</v>
      </c>
      <c r="E73" s="216"/>
      <c r="G73" s="214" t="str">
        <f>Table18[[#This Row],[KATEGORI]]</f>
        <v>SNACK</v>
      </c>
      <c r="H73" s="214" t="str">
        <f>Table18[[#This Row],[TYPE]]</f>
        <v>RETAIL</v>
      </c>
      <c r="I73" s="215">
        <f>Table18[[#This Row],[ITEM CODE]]</f>
        <v>200427</v>
      </c>
      <c r="J73" s="215" t="str">
        <f>Table18[[#This Row],[ITEM NAME]]</f>
        <v>ROMA SLAI OLAI PN APPLE 24G</v>
      </c>
      <c r="K73" s="217"/>
    </row>
    <row r="74" spans="1:11" s="219" customFormat="1" hidden="1">
      <c r="A74" s="218" t="s">
        <v>25</v>
      </c>
      <c r="B74" s="214" t="s">
        <v>7</v>
      </c>
      <c r="C74" s="215">
        <v>200431</v>
      </c>
      <c r="D74" s="215" t="s">
        <v>268</v>
      </c>
      <c r="E74" s="216"/>
      <c r="G74" s="214" t="str">
        <f>Table18[[#This Row],[KATEGORI]]</f>
        <v>SNACK</v>
      </c>
      <c r="H74" s="214" t="str">
        <f>Table18[[#This Row],[TYPE]]</f>
        <v>RETAIL</v>
      </c>
      <c r="I74" s="215">
        <f>Table18[[#This Row],[ITEM CODE]]</f>
        <v>200431</v>
      </c>
      <c r="J74" s="215" t="str">
        <f>Table18[[#This Row],[ITEM NAME]]</f>
        <v>MIE GEMEZ PREM 22GR</v>
      </c>
      <c r="K74" s="217"/>
    </row>
    <row r="75" spans="1:11" s="219" customFormat="1" hidden="1">
      <c r="A75" s="218" t="s">
        <v>25</v>
      </c>
      <c r="B75" s="214" t="s">
        <v>7</v>
      </c>
      <c r="C75" s="215">
        <v>200434</v>
      </c>
      <c r="D75" s="215" t="s">
        <v>644</v>
      </c>
      <c r="E75" s="216"/>
      <c r="G75" s="214" t="str">
        <f>Table18[[#This Row],[KATEGORI]]</f>
        <v>SNACK</v>
      </c>
      <c r="H75" s="214" t="str">
        <f>Table18[[#This Row],[TYPE]]</f>
        <v>RETAIL</v>
      </c>
      <c r="I75" s="215">
        <f>Table18[[#This Row],[ITEM CODE]]</f>
        <v>200434</v>
      </c>
      <c r="J75" s="215" t="str">
        <f>Table18[[#This Row],[ITEM NAME]]</f>
        <v>ROMA SELAI OLAY STRAW 24GR</v>
      </c>
      <c r="K75" s="217"/>
    </row>
    <row r="76" spans="1:11" s="219" customFormat="1" hidden="1">
      <c r="A76" s="218" t="s">
        <v>25</v>
      </c>
      <c r="B76" s="214" t="s">
        <v>7</v>
      </c>
      <c r="C76" s="215">
        <v>200435</v>
      </c>
      <c r="D76" s="215" t="s">
        <v>645</v>
      </c>
      <c r="E76" s="216"/>
      <c r="G76" s="214" t="str">
        <f>Table18[[#This Row],[KATEGORI]]</f>
        <v>SNACK</v>
      </c>
      <c r="H76" s="214" t="str">
        <f>Table18[[#This Row],[TYPE]]</f>
        <v>RETAIL</v>
      </c>
      <c r="I76" s="215">
        <f>Table18[[#This Row],[ITEM CODE]]</f>
        <v>200435</v>
      </c>
      <c r="J76" s="215" t="str">
        <f>Table18[[#This Row],[ITEM NAME]]</f>
        <v>MAYASI KARO PEDAS 15GR</v>
      </c>
      <c r="K76" s="217"/>
    </row>
    <row r="77" spans="1:11" s="219" customFormat="1" hidden="1">
      <c r="A77" s="218" t="s">
        <v>89</v>
      </c>
      <c r="B77" s="214" t="s">
        <v>7</v>
      </c>
      <c r="C77" s="215">
        <v>300041</v>
      </c>
      <c r="D77" s="215" t="s">
        <v>646</v>
      </c>
      <c r="E77" s="216"/>
      <c r="G77" s="214" t="str">
        <f>Table18[[#This Row],[KATEGORI]]</f>
        <v>ES KRIM</v>
      </c>
      <c r="H77" s="214" t="str">
        <f>Table18[[#This Row],[TYPE]]</f>
        <v>RETAIL</v>
      </c>
      <c r="I77" s="215">
        <f>Table18[[#This Row],[ITEM CODE]]</f>
        <v>300041</v>
      </c>
      <c r="J77" s="215" t="str">
        <f>Table18[[#This Row],[ITEM NAME]]</f>
        <v>GLC FROSTBITE KACANG HIJAU 50ML</v>
      </c>
      <c r="K77" s="217"/>
    </row>
    <row r="78" spans="1:11" s="219" customFormat="1" hidden="1">
      <c r="A78" s="218" t="s">
        <v>89</v>
      </c>
      <c r="B78" s="214" t="s">
        <v>7</v>
      </c>
      <c r="C78" s="215">
        <v>300042</v>
      </c>
      <c r="D78" s="215" t="s">
        <v>647</v>
      </c>
      <c r="E78" s="216"/>
      <c r="G78" s="214" t="str">
        <f>Table18[[#This Row],[KATEGORI]]</f>
        <v>ES KRIM</v>
      </c>
      <c r="H78" s="214" t="str">
        <f>Table18[[#This Row],[TYPE]]</f>
        <v>RETAIL</v>
      </c>
      <c r="I78" s="215">
        <f>Table18[[#This Row],[ITEM CODE]]</f>
        <v>300042</v>
      </c>
      <c r="J78" s="215" t="str">
        <f>Table18[[#This Row],[ITEM NAME]]</f>
        <v>GLC FROSTBITE PARI-PARI VANILLA 60ML</v>
      </c>
      <c r="K78" s="217"/>
    </row>
    <row r="79" spans="1:11" s="219" customFormat="1">
      <c r="A79" s="218" t="s">
        <v>89</v>
      </c>
      <c r="B79" s="214" t="s">
        <v>7</v>
      </c>
      <c r="C79" s="215">
        <v>300043</v>
      </c>
      <c r="D79" s="215" t="s">
        <v>115</v>
      </c>
      <c r="E79" s="216"/>
      <c r="G79" s="214" t="str">
        <f>Table18[[#This Row],[KATEGORI]]</f>
        <v>ES KRIM</v>
      </c>
      <c r="H79" s="214" t="str">
        <f>Table18[[#This Row],[TYPE]]</f>
        <v>RETAIL</v>
      </c>
      <c r="I79" s="215">
        <f>Table18[[#This Row],[ITEM CODE]]</f>
        <v>300043</v>
      </c>
      <c r="J79" s="215" t="str">
        <f>Table18[[#This Row],[ITEM NAME]]</f>
        <v>GLC FROSTBITE VANILLA CHOCONUT 65ML</v>
      </c>
      <c r="K79" s="217">
        <v>5</v>
      </c>
    </row>
    <row r="80" spans="1:11" s="219" customFormat="1">
      <c r="A80" s="218" t="s">
        <v>89</v>
      </c>
      <c r="B80" s="214" t="s">
        <v>7</v>
      </c>
      <c r="C80" s="215">
        <v>300046</v>
      </c>
      <c r="D80" s="215" t="s">
        <v>116</v>
      </c>
      <c r="E80" s="216">
        <v>16</v>
      </c>
      <c r="G80" s="214" t="str">
        <f>Table18[[#This Row],[KATEGORI]]</f>
        <v>ES KRIM</v>
      </c>
      <c r="H80" s="214" t="str">
        <f>Table18[[#This Row],[TYPE]]</f>
        <v>RETAIL</v>
      </c>
      <c r="I80" s="215">
        <f>Table18[[#This Row],[ITEM CODE]]</f>
        <v>300046</v>
      </c>
      <c r="J80" s="215" t="str">
        <f>Table18[[#This Row],[ITEM NAME]]</f>
        <v>GLC HAKU MONAKA VANILLA 180ML</v>
      </c>
      <c r="K80" s="217"/>
    </row>
    <row r="81" spans="1:11" s="219" customFormat="1">
      <c r="A81" s="218" t="s">
        <v>89</v>
      </c>
      <c r="B81" s="214" t="s">
        <v>7</v>
      </c>
      <c r="C81" s="215">
        <v>300047</v>
      </c>
      <c r="D81" s="215" t="s">
        <v>648</v>
      </c>
      <c r="E81" s="216"/>
      <c r="G81" s="214" t="str">
        <f>Table18[[#This Row],[KATEGORI]]</f>
        <v>ES KRIM</v>
      </c>
      <c r="H81" s="214" t="str">
        <f>Table18[[#This Row],[TYPE]]</f>
        <v>RETAIL</v>
      </c>
      <c r="I81" s="215">
        <f>Table18[[#This Row],[ITEM CODE]]</f>
        <v>300047</v>
      </c>
      <c r="J81" s="215" t="str">
        <f>Table18[[#This Row],[ITEM NAME]]</f>
        <v>GLC WAKU WAKU CHOCO BOMB</v>
      </c>
      <c r="K81" s="217">
        <v>20</v>
      </c>
    </row>
    <row r="82" spans="1:11" s="219" customFormat="1">
      <c r="A82" s="218" t="s">
        <v>89</v>
      </c>
      <c r="B82" s="214" t="s">
        <v>7</v>
      </c>
      <c r="C82" s="215">
        <v>300049</v>
      </c>
      <c r="D82" s="215" t="s">
        <v>649</v>
      </c>
      <c r="E82" s="216"/>
      <c r="G82" s="214" t="str">
        <f>Table18[[#This Row],[KATEGORI]]</f>
        <v>ES KRIM</v>
      </c>
      <c r="H82" s="214" t="str">
        <f>Table18[[#This Row],[TYPE]]</f>
        <v>RETAIL</v>
      </c>
      <c r="I82" s="215">
        <f>Table18[[#This Row],[ITEM CODE]]</f>
        <v>300049</v>
      </c>
      <c r="J82" s="215" t="str">
        <f>Table18[[#This Row],[ITEM NAME]]</f>
        <v>GLC WAKU WAKU WATER MELON 60ML</v>
      </c>
      <c r="K82" s="217">
        <v>12</v>
      </c>
    </row>
    <row r="83" spans="1:11" s="219" customFormat="1" hidden="1">
      <c r="A83" s="218" t="s">
        <v>89</v>
      </c>
      <c r="B83" s="214" t="s">
        <v>7</v>
      </c>
      <c r="C83" s="215">
        <v>300053</v>
      </c>
      <c r="D83" s="215" t="s">
        <v>537</v>
      </c>
      <c r="E83" s="216"/>
      <c r="G83" s="214" t="str">
        <f>Table18[[#This Row],[KATEGORI]]</f>
        <v>ES KRIM</v>
      </c>
      <c r="H83" s="214" t="str">
        <f>Table18[[#This Row],[TYPE]]</f>
        <v>RETAIL</v>
      </c>
      <c r="I83" s="215">
        <f>Table18[[#This Row],[ITEM CODE]]</f>
        <v>300053</v>
      </c>
      <c r="J83" s="215" t="str">
        <f>Table18[[#This Row],[ITEM NAME]]</f>
        <v>GLC WAKU WAKU STRAWBERRYLOOP 35ML</v>
      </c>
      <c r="K83" s="217"/>
    </row>
    <row r="84" spans="1:11" s="219" customFormat="1" hidden="1">
      <c r="A84" s="218" t="s">
        <v>25</v>
      </c>
      <c r="B84" s="214" t="s">
        <v>7</v>
      </c>
      <c r="C84" s="215">
        <v>500004</v>
      </c>
      <c r="D84" s="215" t="s">
        <v>651</v>
      </c>
      <c r="E84" s="216"/>
      <c r="G84" s="214" t="str">
        <f>Table18[[#This Row],[KATEGORI]]</f>
        <v>SNACK</v>
      </c>
      <c r="H84" s="214" t="str">
        <f>Table18[[#This Row],[TYPE]]</f>
        <v>RETAIL</v>
      </c>
      <c r="I84" s="215">
        <f>Table18[[#This Row],[ITEM CODE]]</f>
        <v>500004</v>
      </c>
      <c r="J84" s="215" t="str">
        <f>Table18[[#This Row],[ITEM NAME]]</f>
        <v>XYLITOL FRESH MINT 30GR</v>
      </c>
      <c r="K84" s="217"/>
    </row>
    <row r="85" spans="1:11" s="219" customFormat="1" hidden="1">
      <c r="A85" s="218" t="s">
        <v>25</v>
      </c>
      <c r="B85" s="214" t="s">
        <v>7</v>
      </c>
      <c r="C85" s="215">
        <v>500006</v>
      </c>
      <c r="D85" s="215" t="s">
        <v>652</v>
      </c>
      <c r="E85" s="216"/>
      <c r="G85" s="214" t="str">
        <f>Table18[[#This Row],[KATEGORI]]</f>
        <v>SNACK</v>
      </c>
      <c r="H85" s="214" t="str">
        <f>Table18[[#This Row],[TYPE]]</f>
        <v>RETAIL</v>
      </c>
      <c r="I85" s="215">
        <f>Table18[[#This Row],[ITEM CODE]]</f>
        <v>500006</v>
      </c>
      <c r="J85" s="215" t="str">
        <f>Table18[[#This Row],[ITEM NAME]]</f>
        <v>XYLITOL RASA JERUK NIPIS 30GR</v>
      </c>
      <c r="K85" s="217"/>
    </row>
    <row r="86" spans="1:11" s="219" customFormat="1" hidden="1">
      <c r="A86" s="218" t="s">
        <v>25</v>
      </c>
      <c r="B86" s="214" t="s">
        <v>7</v>
      </c>
      <c r="C86" s="215">
        <v>500007</v>
      </c>
      <c r="D86" s="215" t="s">
        <v>653</v>
      </c>
      <c r="E86" s="216"/>
      <c r="G86" s="214" t="str">
        <f>Table18[[#This Row],[KATEGORI]]</f>
        <v>SNACK</v>
      </c>
      <c r="H86" s="214" t="str">
        <f>Table18[[#This Row],[TYPE]]</f>
        <v>RETAIL</v>
      </c>
      <c r="I86" s="215">
        <f>Table18[[#This Row],[ITEM CODE]]</f>
        <v>500007</v>
      </c>
      <c r="J86" s="215" t="str">
        <f>Table18[[#This Row],[ITEM NAME]]</f>
        <v>XYLITOL RASA STRAWBERRY MINT 30GR</v>
      </c>
      <c r="K86" s="217"/>
    </row>
    <row r="87" spans="1:11" s="219" customFormat="1" hidden="1">
      <c r="A87" s="218" t="s">
        <v>25</v>
      </c>
      <c r="B87" s="218" t="s">
        <v>7</v>
      </c>
      <c r="C87" s="215">
        <v>500011</v>
      </c>
      <c r="D87" s="215" t="s">
        <v>423</v>
      </c>
      <c r="E87" s="216"/>
      <c r="G87" s="214" t="str">
        <f>Table18[[#This Row],[KATEGORI]]</f>
        <v>SNACK</v>
      </c>
      <c r="H87" s="214" t="str">
        <f>Table18[[#This Row],[TYPE]]</f>
        <v>RETAIL</v>
      </c>
      <c r="I87" s="215">
        <f>Table18[[#This Row],[ITEM CODE]]</f>
        <v>500011</v>
      </c>
      <c r="J87" s="215" t="str">
        <f>Table18[[#This Row],[ITEM NAME]]</f>
        <v>FISHERMANS F.BLACKCRNT 25GR</v>
      </c>
      <c r="K87" s="217"/>
    </row>
    <row r="88" spans="1:11" s="219" customFormat="1" hidden="1">
      <c r="A88" s="218" t="s">
        <v>25</v>
      </c>
      <c r="B88" s="218" t="s">
        <v>7</v>
      </c>
      <c r="C88" s="215">
        <v>500022</v>
      </c>
      <c r="D88" s="215" t="s">
        <v>655</v>
      </c>
      <c r="E88" s="216"/>
      <c r="G88" s="214" t="str">
        <f>Table18[[#This Row],[KATEGORI]]</f>
        <v>SNACK</v>
      </c>
      <c r="H88" s="214" t="str">
        <f>Table18[[#This Row],[TYPE]]</f>
        <v>RETAIL</v>
      </c>
      <c r="I88" s="215">
        <f>Table18[[#This Row],[ITEM CODE]]</f>
        <v>500022</v>
      </c>
      <c r="J88" s="215" t="str">
        <f>Table18[[#This Row],[ITEM NAME]]</f>
        <v>XYLITOL RSA BLUBERY 30GR</v>
      </c>
      <c r="K88" s="217"/>
    </row>
    <row r="89" spans="1:11" s="219" customFormat="1" hidden="1">
      <c r="A89" s="218" t="s">
        <v>25</v>
      </c>
      <c r="B89" s="218" t="s">
        <v>7</v>
      </c>
      <c r="C89" s="215">
        <v>500032</v>
      </c>
      <c r="D89" s="215" t="s">
        <v>656</v>
      </c>
      <c r="E89" s="216"/>
      <c r="G89" s="214" t="str">
        <f>Table18[[#This Row],[KATEGORI]]</f>
        <v>SNACK</v>
      </c>
      <c r="H89" s="214" t="str">
        <f>Table18[[#This Row],[TYPE]]</f>
        <v>RETAIL</v>
      </c>
      <c r="I89" s="215">
        <f>Table18[[#This Row],[ITEM CODE]]</f>
        <v>500032</v>
      </c>
      <c r="J89" s="215" t="str">
        <f>Table18[[#This Row],[ITEM NAME]]</f>
        <v>XYLITOL RASA BREEZY MINT 30GR</v>
      </c>
      <c r="K89" s="217"/>
    </row>
    <row r="90" spans="1:11" s="219" customFormat="1" hidden="1">
      <c r="A90" s="218" t="s">
        <v>25</v>
      </c>
      <c r="B90" s="218" t="s">
        <v>7</v>
      </c>
      <c r="C90" s="215">
        <v>500036</v>
      </c>
      <c r="D90" s="215" t="s">
        <v>657</v>
      </c>
      <c r="E90" s="216"/>
      <c r="G90" s="214" t="str">
        <f>Table18[[#This Row],[KATEGORI]]</f>
        <v>SNACK</v>
      </c>
      <c r="H90" s="214" t="str">
        <f>Table18[[#This Row],[TYPE]]</f>
        <v>RETAIL</v>
      </c>
      <c r="I90" s="215">
        <f>Table18[[#This Row],[ITEM CODE]]</f>
        <v>500036</v>
      </c>
      <c r="J90" s="215" t="str">
        <f>Table18[[#This Row],[ITEM NAME]]</f>
        <v>SUGUS STICK BLACKCURRANT 30GR</v>
      </c>
      <c r="K90" s="217"/>
    </row>
    <row r="91" spans="1:11" s="219" customFormat="1" hidden="1">
      <c r="A91" s="218" t="s">
        <v>25</v>
      </c>
      <c r="B91" s="218" t="s">
        <v>7</v>
      </c>
      <c r="C91" s="215">
        <v>500037</v>
      </c>
      <c r="D91" s="215" t="s">
        <v>658</v>
      </c>
      <c r="E91" s="216"/>
      <c r="G91" s="214" t="str">
        <f>Table18[[#This Row],[KATEGORI]]</f>
        <v>SNACK</v>
      </c>
      <c r="H91" s="214" t="str">
        <f>Table18[[#This Row],[TYPE]]</f>
        <v>RETAIL</v>
      </c>
      <c r="I91" s="215">
        <f>Table18[[#This Row],[ITEM CODE]]</f>
        <v>500037</v>
      </c>
      <c r="J91" s="215" t="str">
        <f>Table18[[#This Row],[ITEM NAME]]</f>
        <v>SUGUS STICK ORANGE 30GR</v>
      </c>
      <c r="K91" s="217"/>
    </row>
    <row r="92" spans="1:11" s="219" customFormat="1" hidden="1">
      <c r="A92" s="218" t="s">
        <v>25</v>
      </c>
      <c r="B92" s="218" t="s">
        <v>7</v>
      </c>
      <c r="C92" s="215">
        <v>500038</v>
      </c>
      <c r="D92" s="215" t="s">
        <v>659</v>
      </c>
      <c r="E92" s="216"/>
      <c r="G92" s="214" t="str">
        <f>Table18[[#This Row],[KATEGORI]]</f>
        <v>SNACK</v>
      </c>
      <c r="H92" s="214" t="str">
        <f>Table18[[#This Row],[TYPE]]</f>
        <v>RETAIL</v>
      </c>
      <c r="I92" s="215">
        <f>Table18[[#This Row],[ITEM CODE]]</f>
        <v>500038</v>
      </c>
      <c r="J92" s="215" t="str">
        <f>Table18[[#This Row],[ITEM NAME]]</f>
        <v>SUGUS STICK STRAWBERRY 30GR</v>
      </c>
      <c r="K92" s="217"/>
    </row>
    <row r="93" spans="1:11" s="219" customFormat="1" hidden="1">
      <c r="A93" s="218" t="s">
        <v>25</v>
      </c>
      <c r="B93" s="218" t="s">
        <v>7</v>
      </c>
      <c r="C93" s="215">
        <v>500044</v>
      </c>
      <c r="D93" s="215" t="s">
        <v>660</v>
      </c>
      <c r="E93" s="216"/>
      <c r="G93" s="214" t="str">
        <f>Table18[[#This Row],[KATEGORI]]</f>
        <v>SNACK</v>
      </c>
      <c r="H93" s="214" t="str">
        <f>Table18[[#This Row],[TYPE]]</f>
        <v>RETAIL</v>
      </c>
      <c r="I93" s="215">
        <f>Table18[[#This Row],[ITEM CODE]]</f>
        <v>500044</v>
      </c>
      <c r="J93" s="215" t="str">
        <f>Table18[[#This Row],[ITEM NAME]]</f>
        <v>FISHERMAN FRIEND SPEARMINT 25G</v>
      </c>
      <c r="K93" s="217"/>
    </row>
    <row r="94" spans="1:11" s="219" customFormat="1" hidden="1">
      <c r="A94" s="218" t="s">
        <v>89</v>
      </c>
      <c r="B94" s="218" t="s">
        <v>7</v>
      </c>
      <c r="C94" s="215">
        <v>500045</v>
      </c>
      <c r="D94" s="215" t="s">
        <v>424</v>
      </c>
      <c r="E94" s="216"/>
      <c r="G94" s="214" t="str">
        <f>Table18[[#This Row],[KATEGORI]]</f>
        <v>ES KRIM</v>
      </c>
      <c r="H94" s="214" t="str">
        <f>Table18[[#This Row],[TYPE]]</f>
        <v>RETAIL</v>
      </c>
      <c r="I94" s="215">
        <f>Table18[[#This Row],[ITEM CODE]]</f>
        <v>500045</v>
      </c>
      <c r="J94" s="215" t="str">
        <f>Table18[[#This Row],[ITEM NAME]]</f>
        <v>FISHERMAN FRIEND LEMON 25GR</v>
      </c>
      <c r="K94" s="217"/>
    </row>
    <row r="95" spans="1:11" s="219" customFormat="1" hidden="1">
      <c r="A95" s="218" t="s">
        <v>89</v>
      </c>
      <c r="B95" s="218" t="s">
        <v>7</v>
      </c>
      <c r="C95" s="215">
        <v>500053</v>
      </c>
      <c r="D95" s="215" t="s">
        <v>661</v>
      </c>
      <c r="E95" s="216"/>
      <c r="G95" s="214" t="str">
        <f>Table18[[#This Row],[KATEGORI]]</f>
        <v>ES KRIM</v>
      </c>
      <c r="H95" s="214" t="str">
        <f>Table18[[#This Row],[TYPE]]</f>
        <v>RETAIL</v>
      </c>
      <c r="I95" s="215">
        <f>Table18[[#This Row],[ITEM CODE]]</f>
        <v>500053</v>
      </c>
      <c r="J95" s="215" t="str">
        <f>Table18[[#This Row],[ITEM NAME]]</f>
        <v>VITACIMIN SWEETLETS 20S</v>
      </c>
      <c r="K95" s="217"/>
    </row>
    <row r="96" spans="1:11" s="219" customFormat="1" hidden="1">
      <c r="A96" s="218" t="s">
        <v>89</v>
      </c>
      <c r="B96" s="218" t="s">
        <v>7</v>
      </c>
      <c r="C96" s="215">
        <v>500055</v>
      </c>
      <c r="D96" s="215" t="s">
        <v>662</v>
      </c>
      <c r="E96" s="216"/>
      <c r="G96" s="214" t="str">
        <f>Table18[[#This Row],[KATEGORI]]</f>
        <v>ES KRIM</v>
      </c>
      <c r="H96" s="214" t="str">
        <f>Table18[[#This Row],[TYPE]]</f>
        <v>RETAIL</v>
      </c>
      <c r="I96" s="215">
        <f>Table18[[#This Row],[ITEM CODE]]</f>
        <v>500055</v>
      </c>
      <c r="J96" s="215" t="str">
        <f>Table18[[#This Row],[ITEM NAME]]</f>
        <v>VITACIMIN ORANGE 20 2</v>
      </c>
      <c r="K96" s="217"/>
    </row>
    <row r="97" spans="1:11" s="219" customFormat="1">
      <c r="A97" s="218" t="s">
        <v>40</v>
      </c>
      <c r="B97" s="218" t="s">
        <v>41</v>
      </c>
      <c r="C97" s="215">
        <v>910045</v>
      </c>
      <c r="D97" s="215" t="s">
        <v>229</v>
      </c>
      <c r="E97" s="216">
        <v>20</v>
      </c>
      <c r="G97" s="214" t="str">
        <f>Table18[[#This Row],[KATEGORI]]</f>
        <v>ACCS MOBIL</v>
      </c>
      <c r="H97" s="214" t="str">
        <f>Table18[[#This Row],[TYPE]]</f>
        <v>CONSIGNMENT</v>
      </c>
      <c r="I97" s="215">
        <f>Table18[[#This Row],[ITEM CODE]]</f>
        <v>910045</v>
      </c>
      <c r="J97" s="215" t="str">
        <f>Table18[[#This Row],[ITEM NAME]]</f>
        <v>OTO GOLD LINE CARWASH &amp; CONDITIONER</v>
      </c>
      <c r="K97" s="217"/>
    </row>
    <row r="98" spans="1:11" s="219" customFormat="1">
      <c r="A98" s="218" t="s">
        <v>40</v>
      </c>
      <c r="B98" s="218" t="s">
        <v>41</v>
      </c>
      <c r="C98" s="215">
        <v>910046</v>
      </c>
      <c r="D98" s="215" t="s">
        <v>230</v>
      </c>
      <c r="E98" s="216">
        <v>10</v>
      </c>
      <c r="G98" s="214" t="str">
        <f>Table18[[#This Row],[KATEGORI]]</f>
        <v>ACCS MOBIL</v>
      </c>
      <c r="H98" s="214" t="str">
        <f>Table18[[#This Row],[TYPE]]</f>
        <v>CONSIGNMENT</v>
      </c>
      <c r="I98" s="215">
        <f>Table18[[#This Row],[ITEM CODE]]</f>
        <v>910046</v>
      </c>
      <c r="J98" s="215" t="str">
        <f>Table18[[#This Row],[ITEM NAME]]</f>
        <v>OTO GOLD LINE WIPER FLUID CONCENTRATE</v>
      </c>
      <c r="K98" s="217"/>
    </row>
    <row r="99" spans="1:11" s="219" customFormat="1" hidden="1">
      <c r="A99" s="218" t="s">
        <v>40</v>
      </c>
      <c r="B99" s="218" t="s">
        <v>41</v>
      </c>
      <c r="C99" s="215">
        <v>910047</v>
      </c>
      <c r="D99" s="215" t="s">
        <v>663</v>
      </c>
      <c r="E99" s="216"/>
      <c r="G99" s="214" t="str">
        <f>Table18[[#This Row],[KATEGORI]]</f>
        <v>ACCS MOBIL</v>
      </c>
      <c r="H99" s="214" t="str">
        <f>Table18[[#This Row],[TYPE]]</f>
        <v>CONSIGNMENT</v>
      </c>
      <c r="I99" s="215">
        <f>Table18[[#This Row],[ITEM CODE]]</f>
        <v>910047</v>
      </c>
      <c r="J99" s="215" t="str">
        <f>Table18[[#This Row],[ITEM NAME]]</f>
        <v>OTO GOLD LINE INTERIOR CLEAN &amp; PROTECT</v>
      </c>
      <c r="K99" s="217"/>
    </row>
    <row r="100" spans="1:11" s="219" customFormat="1" hidden="1">
      <c r="A100" s="218" t="s">
        <v>40</v>
      </c>
      <c r="B100" s="218" t="s">
        <v>41</v>
      </c>
      <c r="C100" s="215">
        <v>910048</v>
      </c>
      <c r="D100" s="215" t="s">
        <v>664</v>
      </c>
      <c r="E100" s="216"/>
      <c r="G100" s="214" t="str">
        <f>Table18[[#This Row],[KATEGORI]]</f>
        <v>ACCS MOBIL</v>
      </c>
      <c r="H100" s="214" t="str">
        <f>Table18[[#This Row],[TYPE]]</f>
        <v>CONSIGNMENT</v>
      </c>
      <c r="I100" s="215">
        <f>Table18[[#This Row],[ITEM CODE]]</f>
        <v>910048</v>
      </c>
      <c r="J100" s="215" t="str">
        <f>Table18[[#This Row],[ITEM NAME]]</f>
        <v>OTO GOLD LINE TIRE SHINE</v>
      </c>
      <c r="K100" s="217"/>
    </row>
    <row r="101" spans="1:11" s="219" customFormat="1" hidden="1">
      <c r="A101" s="218" t="s">
        <v>40</v>
      </c>
      <c r="B101" s="218" t="s">
        <v>41</v>
      </c>
      <c r="C101" s="215">
        <v>910049</v>
      </c>
      <c r="D101" s="215" t="s">
        <v>192</v>
      </c>
      <c r="E101" s="216"/>
      <c r="G101" s="214" t="str">
        <f>Table18[[#This Row],[KATEGORI]]</f>
        <v>ACCS MOBIL</v>
      </c>
      <c r="H101" s="214" t="str">
        <f>Table18[[#This Row],[TYPE]]</f>
        <v>CONSIGNMENT</v>
      </c>
      <c r="I101" s="215">
        <f>Table18[[#This Row],[ITEM CODE]]</f>
        <v>910049</v>
      </c>
      <c r="J101" s="215" t="str">
        <f>Table18[[#This Row],[ITEM NAME]]</f>
        <v>BOTTLE LAVENDER 80GR</v>
      </c>
      <c r="K101" s="217"/>
    </row>
    <row r="102" spans="1:11" s="219" customFormat="1" hidden="1">
      <c r="A102" s="218" t="s">
        <v>40</v>
      </c>
      <c r="B102" s="218" t="s">
        <v>41</v>
      </c>
      <c r="C102" s="215">
        <v>910050</v>
      </c>
      <c r="D102" s="215" t="s">
        <v>336</v>
      </c>
      <c r="E102" s="216"/>
      <c r="G102" s="214" t="str">
        <f>Table18[[#This Row],[KATEGORI]]</f>
        <v>ACCS MOBIL</v>
      </c>
      <c r="H102" s="214" t="str">
        <f>Table18[[#This Row],[TYPE]]</f>
        <v>CONSIGNMENT</v>
      </c>
      <c r="I102" s="215">
        <f>Table18[[#This Row],[ITEM CODE]]</f>
        <v>910050</v>
      </c>
      <c r="J102" s="215" t="str">
        <f>Table18[[#This Row],[ITEM NAME]]</f>
        <v>BOTTLE SAKURA 80GR</v>
      </c>
      <c r="K102" s="217"/>
    </row>
    <row r="103" spans="1:11" s="219" customFormat="1" hidden="1">
      <c r="A103" s="218" t="s">
        <v>40</v>
      </c>
      <c r="B103" s="218" t="s">
        <v>41</v>
      </c>
      <c r="C103" s="215">
        <v>910051</v>
      </c>
      <c r="D103" s="215" t="s">
        <v>193</v>
      </c>
      <c r="E103" s="216"/>
      <c r="G103" s="214" t="str">
        <f>Table18[[#This Row],[KATEGORI]]</f>
        <v>ACCS MOBIL</v>
      </c>
      <c r="H103" s="214" t="str">
        <f>Table18[[#This Row],[TYPE]]</f>
        <v>CONSIGNMENT</v>
      </c>
      <c r="I103" s="215">
        <f>Table18[[#This Row],[ITEM CODE]]</f>
        <v>910051</v>
      </c>
      <c r="J103" s="215" t="str">
        <f>Table18[[#This Row],[ITEM NAME]]</f>
        <v>BOTTLE WITHMUSK 80GR</v>
      </c>
      <c r="K103" s="217"/>
    </row>
    <row r="104" spans="1:11" s="219" customFormat="1" hidden="1">
      <c r="A104" s="218" t="s">
        <v>40</v>
      </c>
      <c r="B104" s="218" t="s">
        <v>41</v>
      </c>
      <c r="C104" s="215">
        <v>910052</v>
      </c>
      <c r="D104" s="215" t="s">
        <v>258</v>
      </c>
      <c r="E104" s="216"/>
      <c r="G104" s="214" t="str">
        <f>Table18[[#This Row],[KATEGORI]]</f>
        <v>ACCS MOBIL</v>
      </c>
      <c r="H104" s="214" t="str">
        <f>Table18[[#This Row],[TYPE]]</f>
        <v>CONSIGNMENT</v>
      </c>
      <c r="I104" s="215">
        <f>Table18[[#This Row],[ITEM CODE]]</f>
        <v>910052</v>
      </c>
      <c r="J104" s="215" t="str">
        <f>Table18[[#This Row],[ITEM NAME]]</f>
        <v>BOTTLE GREEN TEA ODOR ELMNTR ]80GR</v>
      </c>
      <c r="K104" s="217"/>
    </row>
    <row r="105" spans="1:11" s="219" customFormat="1" hidden="1">
      <c r="A105" s="218" t="s">
        <v>40</v>
      </c>
      <c r="B105" s="218" t="s">
        <v>41</v>
      </c>
      <c r="C105" s="215">
        <v>910053</v>
      </c>
      <c r="D105" s="215" t="s">
        <v>259</v>
      </c>
      <c r="E105" s="216"/>
      <c r="G105" s="214" t="str">
        <f>Table18[[#This Row],[KATEGORI]]</f>
        <v>ACCS MOBIL</v>
      </c>
      <c r="H105" s="214" t="str">
        <f>Table18[[#This Row],[TYPE]]</f>
        <v>CONSIGNMENT</v>
      </c>
      <c r="I105" s="215">
        <f>Table18[[#This Row],[ITEM CODE]]</f>
        <v>910053</v>
      </c>
      <c r="J105" s="215" t="str">
        <f>Table18[[#This Row],[ITEM NAME]]</f>
        <v>BOTTLE LEMON SQUASH 80GR</v>
      </c>
      <c r="K105" s="217"/>
    </row>
    <row r="106" spans="1:11" s="219" customFormat="1" hidden="1">
      <c r="A106" s="218" t="s">
        <v>40</v>
      </c>
      <c r="B106" s="218" t="s">
        <v>41</v>
      </c>
      <c r="C106" s="215">
        <v>910054</v>
      </c>
      <c r="D106" s="215" t="s">
        <v>496</v>
      </c>
      <c r="E106" s="216"/>
      <c r="G106" s="214" t="str">
        <f>Table18[[#This Row],[KATEGORI]]</f>
        <v>ACCS MOBIL</v>
      </c>
      <c r="H106" s="214" t="str">
        <f>Table18[[#This Row],[TYPE]]</f>
        <v>CONSIGNMENT</v>
      </c>
      <c r="I106" s="215">
        <f>Table18[[#This Row],[ITEM CODE]]</f>
        <v>910054</v>
      </c>
      <c r="J106" s="215" t="str">
        <f>Table18[[#This Row],[ITEM NAME]]</f>
        <v>HANGING SAMURAI AQUA 8ML</v>
      </c>
      <c r="K106" s="217"/>
    </row>
    <row r="107" spans="1:11" s="219" customFormat="1">
      <c r="A107" s="218" t="s">
        <v>40</v>
      </c>
      <c r="B107" s="218" t="s">
        <v>41</v>
      </c>
      <c r="C107" s="215">
        <v>910055</v>
      </c>
      <c r="D107" s="215" t="s">
        <v>257</v>
      </c>
      <c r="E107" s="216">
        <v>3</v>
      </c>
      <c r="G107" s="214" t="str">
        <f>Table18[[#This Row],[KATEGORI]]</f>
        <v>ACCS MOBIL</v>
      </c>
      <c r="H107" s="214" t="str">
        <f>Table18[[#This Row],[TYPE]]</f>
        <v>CONSIGNMENT</v>
      </c>
      <c r="I107" s="215">
        <f>Table18[[#This Row],[ITEM CODE]]</f>
        <v>910055</v>
      </c>
      <c r="J107" s="215" t="str">
        <f>Table18[[#This Row],[ITEM NAME]]</f>
        <v>HANGING CHANCE 8ML</v>
      </c>
      <c r="K107" s="217"/>
    </row>
    <row r="108" spans="1:11" s="219" customFormat="1">
      <c r="A108" s="218" t="s">
        <v>40</v>
      </c>
      <c r="B108" s="218" t="s">
        <v>41</v>
      </c>
      <c r="C108" s="215">
        <v>910056</v>
      </c>
      <c r="D108" s="215" t="s">
        <v>43</v>
      </c>
      <c r="E108" s="216">
        <v>2</v>
      </c>
      <c r="G108" s="214" t="str">
        <f>Table18[[#This Row],[KATEGORI]]</f>
        <v>ACCS MOBIL</v>
      </c>
      <c r="H108" s="214" t="str">
        <f>Table18[[#This Row],[TYPE]]</f>
        <v>CONSIGNMENT</v>
      </c>
      <c r="I108" s="215">
        <f>Table18[[#This Row],[ITEM CODE]]</f>
        <v>910056</v>
      </c>
      <c r="J108" s="215" t="str">
        <f>Table18[[#This Row],[ITEM NAME]]</f>
        <v>HANGING GOLDEN 8ML</v>
      </c>
      <c r="K108" s="217">
        <v>6</v>
      </c>
    </row>
    <row r="109" spans="1:11" s="219" customFormat="1" hidden="1">
      <c r="A109" s="218" t="s">
        <v>40</v>
      </c>
      <c r="B109" s="218" t="s">
        <v>41</v>
      </c>
      <c r="C109" s="215">
        <v>910057</v>
      </c>
      <c r="D109" s="215" t="s">
        <v>44</v>
      </c>
      <c r="E109" s="216"/>
      <c r="G109" s="214" t="str">
        <f>Table18[[#This Row],[KATEGORI]]</f>
        <v>ACCS MOBIL</v>
      </c>
      <c r="H109" s="214" t="str">
        <f>Table18[[#This Row],[TYPE]]</f>
        <v>CONSIGNMENT</v>
      </c>
      <c r="I109" s="215">
        <f>Table18[[#This Row],[ITEM CODE]]</f>
        <v>910057</v>
      </c>
      <c r="J109" s="215" t="str">
        <f>Table18[[#This Row],[ITEM NAME]]</f>
        <v>HANGING MOON SPARKLE 8ML</v>
      </c>
      <c r="K109" s="217"/>
    </row>
    <row r="110" spans="1:11" s="219" customFormat="1" hidden="1">
      <c r="A110" s="218" t="s">
        <v>40</v>
      </c>
      <c r="B110" s="218" t="s">
        <v>41</v>
      </c>
      <c r="C110" s="215">
        <v>910058</v>
      </c>
      <c r="D110" s="215" t="s">
        <v>337</v>
      </c>
      <c r="E110" s="216"/>
      <c r="G110" s="214" t="str">
        <f>Table18[[#This Row],[KATEGORI]]</f>
        <v>ACCS MOBIL</v>
      </c>
      <c r="H110" s="214" t="str">
        <f>Table18[[#This Row],[TYPE]]</f>
        <v>CONSIGNMENT</v>
      </c>
      <c r="I110" s="215">
        <f>Table18[[#This Row],[ITEM CODE]]</f>
        <v>910058</v>
      </c>
      <c r="J110" s="215" t="str">
        <f>Table18[[#This Row],[ITEM NAME]]</f>
        <v>BUTTERFLY WHITE MUSK 200GR</v>
      </c>
      <c r="K110" s="217"/>
    </row>
    <row r="111" spans="1:11" s="219" customFormat="1" hidden="1">
      <c r="A111" s="218" t="s">
        <v>40</v>
      </c>
      <c r="B111" s="218" t="s">
        <v>41</v>
      </c>
      <c r="C111" s="215">
        <v>910059</v>
      </c>
      <c r="D111" s="215" t="s">
        <v>338</v>
      </c>
      <c r="E111" s="216"/>
      <c r="G111" s="214" t="str">
        <f>Table18[[#This Row],[KATEGORI]]</f>
        <v>ACCS MOBIL</v>
      </c>
      <c r="H111" s="214" t="str">
        <f>Table18[[#This Row],[TYPE]]</f>
        <v>CONSIGNMENT</v>
      </c>
      <c r="I111" s="215">
        <f>Table18[[#This Row],[ITEM CODE]]</f>
        <v>910059</v>
      </c>
      <c r="J111" s="215" t="str">
        <f>Table18[[#This Row],[ITEM NAME]]</f>
        <v>BUTTERFLY PEACH 200GR</v>
      </c>
      <c r="K111" s="217"/>
    </row>
    <row r="112" spans="1:11" s="219" customFormat="1" hidden="1">
      <c r="A112" s="218" t="s">
        <v>40</v>
      </c>
      <c r="B112" s="218" t="s">
        <v>41</v>
      </c>
      <c r="C112" s="215">
        <v>910060</v>
      </c>
      <c r="D112" s="215" t="s">
        <v>339</v>
      </c>
      <c r="E112" s="216"/>
      <c r="G112" s="214" t="str">
        <f>Table18[[#This Row],[KATEGORI]]</f>
        <v>ACCS MOBIL</v>
      </c>
      <c r="H112" s="214" t="str">
        <f>Table18[[#This Row],[TYPE]]</f>
        <v>CONSIGNMENT</v>
      </c>
      <c r="I112" s="215">
        <f>Table18[[#This Row],[ITEM CODE]]</f>
        <v>910060</v>
      </c>
      <c r="J112" s="215" t="str">
        <f>Table18[[#This Row],[ITEM NAME]]</f>
        <v>BUTTERFLY SAMURAI 200GR</v>
      </c>
      <c r="K112" s="217"/>
    </row>
    <row r="113" spans="1:11" s="219" customFormat="1" hidden="1">
      <c r="A113" s="218" t="s">
        <v>40</v>
      </c>
      <c r="B113" s="218" t="s">
        <v>41</v>
      </c>
      <c r="C113" s="215">
        <v>910061</v>
      </c>
      <c r="D113" s="215" t="s">
        <v>340</v>
      </c>
      <c r="E113" s="216"/>
      <c r="G113" s="214" t="str">
        <f>Table18[[#This Row],[KATEGORI]]</f>
        <v>ACCS MOBIL</v>
      </c>
      <c r="H113" s="214" t="str">
        <f>Table18[[#This Row],[TYPE]]</f>
        <v>CONSIGNMENT</v>
      </c>
      <c r="I113" s="215">
        <f>Table18[[#This Row],[ITEM CODE]]</f>
        <v>910061</v>
      </c>
      <c r="J113" s="215" t="str">
        <f>Table18[[#This Row],[ITEM NAME]]</f>
        <v>BUTTERFLY LAVENDER 200GR</v>
      </c>
      <c r="K113" s="217"/>
    </row>
    <row r="114" spans="1:11" s="219" customFormat="1" hidden="1">
      <c r="A114" s="218" t="s">
        <v>40</v>
      </c>
      <c r="B114" s="218" t="s">
        <v>41</v>
      </c>
      <c r="C114" s="215">
        <v>910062</v>
      </c>
      <c r="D114" s="215" t="s">
        <v>341</v>
      </c>
      <c r="E114" s="216"/>
      <c r="G114" s="214" t="str">
        <f>Table18[[#This Row],[KATEGORI]]</f>
        <v>ACCS MOBIL</v>
      </c>
      <c r="H114" s="214" t="str">
        <f>Table18[[#This Row],[TYPE]]</f>
        <v>CONSIGNMENT</v>
      </c>
      <c r="I114" s="215">
        <f>Table18[[#This Row],[ITEM CODE]]</f>
        <v>910062</v>
      </c>
      <c r="J114" s="215" t="str">
        <f>Table18[[#This Row],[ITEM NAME]]</f>
        <v>BUUTTERFLY LEMON SQUASH 200GR</v>
      </c>
      <c r="K114" s="217"/>
    </row>
    <row r="115" spans="1:11" s="219" customFormat="1" hidden="1">
      <c r="A115" s="218" t="s">
        <v>40</v>
      </c>
      <c r="B115" s="218" t="s">
        <v>41</v>
      </c>
      <c r="C115" s="215">
        <v>910063</v>
      </c>
      <c r="D115" s="215" t="s">
        <v>260</v>
      </c>
      <c r="E115" s="216"/>
      <c r="G115" s="214" t="str">
        <f>Table18[[#This Row],[KATEGORI]]</f>
        <v>ACCS MOBIL</v>
      </c>
      <c r="H115" s="214" t="str">
        <f>Table18[[#This Row],[TYPE]]</f>
        <v>CONSIGNMENT</v>
      </c>
      <c r="I115" s="215">
        <f>Table18[[#This Row],[ITEM CODE]]</f>
        <v>910063</v>
      </c>
      <c r="J115" s="215" t="str">
        <f>Table18[[#This Row],[ITEM NAME]]</f>
        <v>WAFFLE CHAMOIS 43X32</v>
      </c>
      <c r="K115" s="217"/>
    </row>
    <row r="116" spans="1:11" s="219" customFormat="1" hidden="1">
      <c r="A116" s="218" t="s">
        <v>40</v>
      </c>
      <c r="B116" s="218" t="s">
        <v>41</v>
      </c>
      <c r="C116" s="215">
        <v>910064</v>
      </c>
      <c r="D116" s="215" t="s">
        <v>261</v>
      </c>
      <c r="E116" s="216"/>
      <c r="G116" s="214" t="str">
        <f>Table18[[#This Row],[KATEGORI]]</f>
        <v>ACCS MOBIL</v>
      </c>
      <c r="H116" s="214" t="str">
        <f>Table18[[#This Row],[TYPE]]</f>
        <v>CONSIGNMENT</v>
      </c>
      <c r="I116" s="215">
        <f>Table18[[#This Row],[ITEM CODE]]</f>
        <v>910064</v>
      </c>
      <c r="J116" s="215" t="str">
        <f>Table18[[#This Row],[ITEM NAME]]</f>
        <v>DR. KLIN CHAMOIS 43X32</v>
      </c>
      <c r="K116" s="217"/>
    </row>
    <row r="117" spans="1:11" s="219" customFormat="1">
      <c r="A117" s="218" t="s">
        <v>40</v>
      </c>
      <c r="B117" s="218" t="s">
        <v>41</v>
      </c>
      <c r="C117" s="215">
        <v>910065</v>
      </c>
      <c r="D117" s="215" t="s">
        <v>665</v>
      </c>
      <c r="E117" s="216">
        <v>5</v>
      </c>
      <c r="G117" s="214" t="str">
        <f>Table18[[#This Row],[KATEGORI]]</f>
        <v>ACCS MOBIL</v>
      </c>
      <c r="H117" s="214" t="str">
        <f>Table18[[#This Row],[TYPE]]</f>
        <v>CONSIGNMENT</v>
      </c>
      <c r="I117" s="215">
        <f>Table18[[#This Row],[ITEM CODE]]</f>
        <v>910065</v>
      </c>
      <c r="J117" s="215" t="str">
        <f>Table18[[#This Row],[ITEM NAME]]</f>
        <v>AERO BLADE 12 INCHI</v>
      </c>
      <c r="K117" s="217"/>
    </row>
    <row r="118" spans="1:11" s="219" customFormat="1">
      <c r="A118" s="218" t="s">
        <v>40</v>
      </c>
      <c r="B118" s="218" t="s">
        <v>41</v>
      </c>
      <c r="C118" s="215">
        <v>910066</v>
      </c>
      <c r="D118" s="215" t="s">
        <v>666</v>
      </c>
      <c r="E118" s="216">
        <v>6</v>
      </c>
      <c r="G118" s="214" t="str">
        <f>Table18[[#This Row],[KATEGORI]]</f>
        <v>ACCS MOBIL</v>
      </c>
      <c r="H118" s="214" t="str">
        <f>Table18[[#This Row],[TYPE]]</f>
        <v>CONSIGNMENT</v>
      </c>
      <c r="I118" s="215">
        <f>Table18[[#This Row],[ITEM CODE]]</f>
        <v>910066</v>
      </c>
      <c r="J118" s="215" t="str">
        <f>Table18[[#This Row],[ITEM NAME]]</f>
        <v>AERO BLADE 14 INCHI</v>
      </c>
      <c r="K118" s="217"/>
    </row>
    <row r="119" spans="1:11" s="219" customFormat="1" hidden="1">
      <c r="A119" s="218" t="s">
        <v>40</v>
      </c>
      <c r="B119" s="218" t="s">
        <v>41</v>
      </c>
      <c r="C119" s="215">
        <v>910067</v>
      </c>
      <c r="D119" s="215" t="s">
        <v>667</v>
      </c>
      <c r="E119" s="216"/>
      <c r="G119" s="214" t="str">
        <f>Table18[[#This Row],[KATEGORI]]</f>
        <v>ACCS MOBIL</v>
      </c>
      <c r="H119" s="214" t="str">
        <f>Table18[[#This Row],[TYPE]]</f>
        <v>CONSIGNMENT</v>
      </c>
      <c r="I119" s="215">
        <f>Table18[[#This Row],[ITEM CODE]]</f>
        <v>910067</v>
      </c>
      <c r="J119" s="215" t="str">
        <f>Table18[[#This Row],[ITEM NAME]]</f>
        <v>AERO BLADE 15 INCHI</v>
      </c>
      <c r="K119" s="217"/>
    </row>
    <row r="120" spans="1:11" s="219" customFormat="1" hidden="1">
      <c r="A120" s="218" t="s">
        <v>40</v>
      </c>
      <c r="B120" s="218" t="s">
        <v>41</v>
      </c>
      <c r="C120" s="215">
        <v>910068</v>
      </c>
      <c r="D120" s="215" t="s">
        <v>668</v>
      </c>
      <c r="E120" s="216"/>
      <c r="G120" s="214" t="str">
        <f>Table18[[#This Row],[KATEGORI]]</f>
        <v>ACCS MOBIL</v>
      </c>
      <c r="H120" s="214" t="str">
        <f>Table18[[#This Row],[TYPE]]</f>
        <v>CONSIGNMENT</v>
      </c>
      <c r="I120" s="215">
        <f>Table18[[#This Row],[ITEM CODE]]</f>
        <v>910068</v>
      </c>
      <c r="J120" s="215" t="str">
        <f>Table18[[#This Row],[ITEM NAME]]</f>
        <v>AERO BLADE 16 INCHI</v>
      </c>
      <c r="K120" s="217"/>
    </row>
    <row r="121" spans="1:11" s="219" customFormat="1">
      <c r="A121" s="218" t="s">
        <v>40</v>
      </c>
      <c r="B121" s="218" t="s">
        <v>41</v>
      </c>
      <c r="C121" s="215">
        <v>910069</v>
      </c>
      <c r="D121" s="215" t="s">
        <v>669</v>
      </c>
      <c r="E121" s="216">
        <v>4</v>
      </c>
      <c r="G121" s="214" t="str">
        <f>Table18[[#This Row],[KATEGORI]]</f>
        <v>ACCS MOBIL</v>
      </c>
      <c r="H121" s="214" t="str">
        <f>Table18[[#This Row],[TYPE]]</f>
        <v>CONSIGNMENT</v>
      </c>
      <c r="I121" s="215">
        <f>Table18[[#This Row],[ITEM CODE]]</f>
        <v>910069</v>
      </c>
      <c r="J121" s="215" t="str">
        <f>Table18[[#This Row],[ITEM NAME]]</f>
        <v>AERO BLADE 17 INCHI</v>
      </c>
      <c r="K121" s="217"/>
    </row>
    <row r="122" spans="1:11" s="219" customFormat="1">
      <c r="A122" s="218" t="s">
        <v>40</v>
      </c>
      <c r="B122" s="218" t="s">
        <v>41</v>
      </c>
      <c r="C122" s="215">
        <v>910070</v>
      </c>
      <c r="D122" s="215" t="s">
        <v>670</v>
      </c>
      <c r="E122" s="216">
        <v>6</v>
      </c>
      <c r="G122" s="214" t="str">
        <f>Table18[[#This Row],[KATEGORI]]</f>
        <v>ACCS MOBIL</v>
      </c>
      <c r="H122" s="214" t="str">
        <f>Table18[[#This Row],[TYPE]]</f>
        <v>CONSIGNMENT</v>
      </c>
      <c r="I122" s="215">
        <f>Table18[[#This Row],[ITEM CODE]]</f>
        <v>910070</v>
      </c>
      <c r="J122" s="215" t="str">
        <f>Table18[[#This Row],[ITEM NAME]]</f>
        <v>AERO BLADE 18 INCHI</v>
      </c>
      <c r="K122" s="217"/>
    </row>
    <row r="123" spans="1:11" s="219" customFormat="1">
      <c r="A123" s="218" t="s">
        <v>40</v>
      </c>
      <c r="B123" s="218" t="s">
        <v>41</v>
      </c>
      <c r="C123" s="215">
        <v>910071</v>
      </c>
      <c r="D123" s="215" t="s">
        <v>671</v>
      </c>
      <c r="E123" s="216">
        <v>3</v>
      </c>
      <c r="G123" s="214" t="str">
        <f>Table18[[#This Row],[KATEGORI]]</f>
        <v>ACCS MOBIL</v>
      </c>
      <c r="H123" s="214" t="str">
        <f>Table18[[#This Row],[TYPE]]</f>
        <v>CONSIGNMENT</v>
      </c>
      <c r="I123" s="215">
        <f>Table18[[#This Row],[ITEM CODE]]</f>
        <v>910071</v>
      </c>
      <c r="J123" s="215" t="str">
        <f>Table18[[#This Row],[ITEM NAME]]</f>
        <v>AERO BLADE 19 INCHI</v>
      </c>
      <c r="K123" s="217"/>
    </row>
    <row r="124" spans="1:11" s="219" customFormat="1">
      <c r="A124" s="218" t="s">
        <v>40</v>
      </c>
      <c r="B124" s="218" t="s">
        <v>41</v>
      </c>
      <c r="C124" s="215">
        <v>910072</v>
      </c>
      <c r="D124" s="215" t="s">
        <v>672</v>
      </c>
      <c r="E124" s="216">
        <v>4</v>
      </c>
      <c r="G124" s="214" t="str">
        <f>Table18[[#This Row],[KATEGORI]]</f>
        <v>ACCS MOBIL</v>
      </c>
      <c r="H124" s="214" t="str">
        <f>Table18[[#This Row],[TYPE]]</f>
        <v>CONSIGNMENT</v>
      </c>
      <c r="I124" s="215">
        <f>Table18[[#This Row],[ITEM CODE]]</f>
        <v>910072</v>
      </c>
      <c r="J124" s="215" t="str">
        <f>Table18[[#This Row],[ITEM NAME]]</f>
        <v>AERO BLADE 20 INCHI</v>
      </c>
      <c r="K124" s="217"/>
    </row>
    <row r="125" spans="1:11" s="219" customFormat="1">
      <c r="A125" s="218" t="s">
        <v>40</v>
      </c>
      <c r="B125" s="218" t="s">
        <v>41</v>
      </c>
      <c r="C125" s="215">
        <v>910073</v>
      </c>
      <c r="D125" s="215" t="s">
        <v>673</v>
      </c>
      <c r="E125" s="216">
        <v>3</v>
      </c>
      <c r="G125" s="214" t="str">
        <f>Table18[[#This Row],[KATEGORI]]</f>
        <v>ACCS MOBIL</v>
      </c>
      <c r="H125" s="214" t="str">
        <f>Table18[[#This Row],[TYPE]]</f>
        <v>CONSIGNMENT</v>
      </c>
      <c r="I125" s="215">
        <f>Table18[[#This Row],[ITEM CODE]]</f>
        <v>910073</v>
      </c>
      <c r="J125" s="215" t="str">
        <f>Table18[[#This Row],[ITEM NAME]]</f>
        <v>AERO BLADE 21 INCHI</v>
      </c>
      <c r="K125" s="217"/>
    </row>
    <row r="126" spans="1:11" s="219" customFormat="1">
      <c r="A126" s="218" t="s">
        <v>40</v>
      </c>
      <c r="B126" s="218" t="s">
        <v>41</v>
      </c>
      <c r="C126" s="215">
        <v>910074</v>
      </c>
      <c r="D126" s="215" t="s">
        <v>674</v>
      </c>
      <c r="E126" s="216">
        <v>4</v>
      </c>
      <c r="G126" s="214" t="str">
        <f>Table18[[#This Row],[KATEGORI]]</f>
        <v>ACCS MOBIL</v>
      </c>
      <c r="H126" s="214" t="str">
        <f>Table18[[#This Row],[TYPE]]</f>
        <v>CONSIGNMENT</v>
      </c>
      <c r="I126" s="215">
        <f>Table18[[#This Row],[ITEM CODE]]</f>
        <v>910074</v>
      </c>
      <c r="J126" s="215" t="str">
        <f>Table18[[#This Row],[ITEM NAME]]</f>
        <v>AERO BLADE 22 INCHI</v>
      </c>
      <c r="K126" s="217"/>
    </row>
    <row r="127" spans="1:11" s="219" customFormat="1">
      <c r="A127" s="218" t="s">
        <v>40</v>
      </c>
      <c r="B127" s="218" t="s">
        <v>41</v>
      </c>
      <c r="C127" s="215">
        <v>910075</v>
      </c>
      <c r="D127" s="215" t="s">
        <v>675</v>
      </c>
      <c r="E127" s="216">
        <v>5</v>
      </c>
      <c r="G127" s="214" t="str">
        <f>Table18[[#This Row],[KATEGORI]]</f>
        <v>ACCS MOBIL</v>
      </c>
      <c r="H127" s="214" t="str">
        <f>Table18[[#This Row],[TYPE]]</f>
        <v>CONSIGNMENT</v>
      </c>
      <c r="I127" s="215">
        <f>Table18[[#This Row],[ITEM CODE]]</f>
        <v>910075</v>
      </c>
      <c r="J127" s="215" t="str">
        <f>Table18[[#This Row],[ITEM NAME]]</f>
        <v>AERO BLADE 24 INCHI</v>
      </c>
      <c r="K127" s="217"/>
    </row>
    <row r="128" spans="1:11" s="219" customFormat="1">
      <c r="A128" s="218" t="s">
        <v>40</v>
      </c>
      <c r="B128" s="218" t="s">
        <v>41</v>
      </c>
      <c r="C128" s="215">
        <v>910076</v>
      </c>
      <c r="D128" s="215" t="s">
        <v>676</v>
      </c>
      <c r="E128" s="216">
        <v>5</v>
      </c>
      <c r="G128" s="214" t="str">
        <f>Table18[[#This Row],[KATEGORI]]</f>
        <v>ACCS MOBIL</v>
      </c>
      <c r="H128" s="214" t="str">
        <f>Table18[[#This Row],[TYPE]]</f>
        <v>CONSIGNMENT</v>
      </c>
      <c r="I128" s="215">
        <f>Table18[[#This Row],[ITEM CODE]]</f>
        <v>910076</v>
      </c>
      <c r="J128" s="215" t="str">
        <f>Table18[[#This Row],[ITEM NAME]]</f>
        <v>AERO BLADE 26 INCHI</v>
      </c>
      <c r="K128" s="217"/>
    </row>
    <row r="129" spans="1:11" s="219" customFormat="1">
      <c r="A129" s="218" t="s">
        <v>40</v>
      </c>
      <c r="B129" s="218" t="s">
        <v>41</v>
      </c>
      <c r="C129" s="215">
        <v>990004</v>
      </c>
      <c r="D129" s="215" t="s">
        <v>45</v>
      </c>
      <c r="E129" s="216">
        <v>62</v>
      </c>
      <c r="G129" s="214" t="str">
        <f>Table18[[#This Row],[KATEGORI]]</f>
        <v>ACCS MOBIL</v>
      </c>
      <c r="H129" s="214" t="str">
        <f>Table18[[#This Row],[TYPE]]</f>
        <v>CONSIGNMENT</v>
      </c>
      <c r="I129" s="215">
        <f>Table18[[#This Row],[ITEM CODE]]</f>
        <v>990004</v>
      </c>
      <c r="J129" s="215" t="str">
        <f>Table18[[#This Row],[ITEM NAME]]</f>
        <v>HOKAIDO ALL SIZE</v>
      </c>
      <c r="K129" s="217"/>
    </row>
    <row r="130" spans="1:11" s="219" customFormat="1" hidden="1">
      <c r="A130" s="218" t="s">
        <v>40</v>
      </c>
      <c r="B130" s="218" t="s">
        <v>41</v>
      </c>
      <c r="C130" s="215">
        <v>990062</v>
      </c>
      <c r="D130" s="215" t="s">
        <v>677</v>
      </c>
      <c r="E130" s="216"/>
      <c r="G130" s="214" t="str">
        <f>Table18[[#This Row],[KATEGORI]]</f>
        <v>ACCS MOBIL</v>
      </c>
      <c r="H130" s="214" t="str">
        <f>Table18[[#This Row],[TYPE]]</f>
        <v>CONSIGNMENT</v>
      </c>
      <c r="I130" s="215">
        <f>Table18[[#This Row],[ITEM CODE]]</f>
        <v>990062</v>
      </c>
      <c r="J130" s="215" t="str">
        <f>Table18[[#This Row],[ITEM NAME]]</f>
        <v>MENTOS MINT 37GR</v>
      </c>
      <c r="K130" s="217"/>
    </row>
    <row r="131" spans="1:11" s="219" customFormat="1">
      <c r="A131" s="218" t="s">
        <v>40</v>
      </c>
      <c r="B131" s="218" t="s">
        <v>41</v>
      </c>
      <c r="C131" s="215">
        <v>990097</v>
      </c>
      <c r="D131" s="215" t="s">
        <v>218</v>
      </c>
      <c r="E131" s="216">
        <v>9</v>
      </c>
      <c r="G131" s="214" t="str">
        <f>Table18[[#This Row],[KATEGORI]]</f>
        <v>ACCS MOBIL</v>
      </c>
      <c r="H131" s="214" t="str">
        <f>Table18[[#This Row],[TYPE]]</f>
        <v>CONSIGNMENT</v>
      </c>
      <c r="I131" s="215">
        <f>Table18[[#This Row],[ITEM CODE]]</f>
        <v>990097</v>
      </c>
      <c r="J131" s="215" t="str">
        <f>Table18[[#This Row],[ITEM NAME]]</f>
        <v>POWER SPRAY AIR DISFT 250ML</v>
      </c>
      <c r="K131" s="217"/>
    </row>
    <row r="132" spans="1:11" s="219" customFormat="1">
      <c r="A132" s="218" t="s">
        <v>40</v>
      </c>
      <c r="B132" s="218" t="s">
        <v>7</v>
      </c>
      <c r="C132" s="215">
        <v>990102</v>
      </c>
      <c r="D132" s="215" t="s">
        <v>326</v>
      </c>
      <c r="E132" s="216">
        <v>13</v>
      </c>
      <c r="G132" s="214" t="str">
        <f>Table18[[#This Row],[KATEGORI]]</f>
        <v>ACCS MOBIL</v>
      </c>
      <c r="H132" s="214" t="str">
        <f>Table18[[#This Row],[TYPE]]</f>
        <v>RETAIL</v>
      </c>
      <c r="I132" s="215">
        <f>Table18[[#This Row],[ITEM CODE]]</f>
        <v>990102</v>
      </c>
      <c r="J132" s="215" t="str">
        <f>Table18[[#This Row],[ITEM NAME]]</f>
        <v>CUBE HP COFFEE</v>
      </c>
      <c r="K132" s="217"/>
    </row>
    <row r="133" spans="1:11" s="219" customFormat="1" hidden="1">
      <c r="A133" s="218" t="s">
        <v>124</v>
      </c>
      <c r="B133" s="218" t="s">
        <v>7</v>
      </c>
      <c r="C133" s="215">
        <v>990114</v>
      </c>
      <c r="D133" s="215" t="s">
        <v>194</v>
      </c>
      <c r="E133" s="216"/>
      <c r="G133" s="214" t="str">
        <f>Table18[[#This Row],[KATEGORI]]</f>
        <v>PERSONAL CARE</v>
      </c>
      <c r="H133" s="214" t="str">
        <f>Table18[[#This Row],[TYPE]]</f>
        <v>RETAIL</v>
      </c>
      <c r="I133" s="215">
        <f>Table18[[#This Row],[ITEM CODE]]</f>
        <v>990114</v>
      </c>
      <c r="J133" s="215" t="str">
        <f>Table18[[#This Row],[ITEM NAME]]</f>
        <v>TESSA TRAVEL LNEY TONS 50SX3P</v>
      </c>
      <c r="K133" s="217"/>
    </row>
    <row r="134" spans="1:11" s="219" customFormat="1">
      <c r="A134" s="218" t="s">
        <v>40</v>
      </c>
      <c r="B134" s="218" t="s">
        <v>7</v>
      </c>
      <c r="C134" s="215">
        <v>990115</v>
      </c>
      <c r="D134" s="215" t="s">
        <v>51</v>
      </c>
      <c r="E134" s="216">
        <v>9</v>
      </c>
      <c r="G134" s="214" t="str">
        <f>Table18[[#This Row],[KATEGORI]]</f>
        <v>ACCS MOBIL</v>
      </c>
      <c r="H134" s="214" t="str">
        <f>Table18[[#This Row],[TYPE]]</f>
        <v>RETAIL</v>
      </c>
      <c r="I134" s="215">
        <f>Table18[[#This Row],[ITEM CODE]]</f>
        <v>990115</v>
      </c>
      <c r="J134" s="215" t="str">
        <f>Table18[[#This Row],[ITEM NAME]]</f>
        <v>CUBE CR VANILLA</v>
      </c>
      <c r="K134" s="217"/>
    </row>
    <row r="135" spans="1:11" s="219" customFormat="1">
      <c r="A135" s="218" t="s">
        <v>40</v>
      </c>
      <c r="B135" s="218" t="s">
        <v>7</v>
      </c>
      <c r="C135" s="215">
        <v>990116</v>
      </c>
      <c r="D135" s="215" t="s">
        <v>47</v>
      </c>
      <c r="E135" s="216">
        <v>14</v>
      </c>
      <c r="G135" s="214" t="str">
        <f>Table18[[#This Row],[KATEGORI]]</f>
        <v>ACCS MOBIL</v>
      </c>
      <c r="H135" s="214" t="str">
        <f>Table18[[#This Row],[TYPE]]</f>
        <v>RETAIL</v>
      </c>
      <c r="I135" s="215">
        <f>Table18[[#This Row],[ITEM CODE]]</f>
        <v>990116</v>
      </c>
      <c r="J135" s="215" t="str">
        <f>Table18[[#This Row],[ITEM NAME]]</f>
        <v>CUBE CR COFFEE</v>
      </c>
      <c r="K135" s="217"/>
    </row>
    <row r="136" spans="1:11" s="219" customFormat="1">
      <c r="A136" s="218" t="s">
        <v>40</v>
      </c>
      <c r="B136" s="218" t="s">
        <v>7</v>
      </c>
      <c r="C136" s="215">
        <v>990117</v>
      </c>
      <c r="D136" s="215" t="s">
        <v>49</v>
      </c>
      <c r="E136" s="216">
        <v>20</v>
      </c>
      <c r="G136" s="214" t="str">
        <f>Table18[[#This Row],[KATEGORI]]</f>
        <v>ACCS MOBIL</v>
      </c>
      <c r="H136" s="214" t="str">
        <f>Table18[[#This Row],[TYPE]]</f>
        <v>RETAIL</v>
      </c>
      <c r="I136" s="215">
        <f>Table18[[#This Row],[ITEM CODE]]</f>
        <v>990117</v>
      </c>
      <c r="J136" s="215" t="str">
        <f>Table18[[#This Row],[ITEM NAME]]</f>
        <v>CUBE CR TROPICAN</v>
      </c>
      <c r="K136" s="217"/>
    </row>
    <row r="137" spans="1:11" s="219" customFormat="1" hidden="1">
      <c r="A137" s="218" t="s">
        <v>124</v>
      </c>
      <c r="B137" s="218" t="s">
        <v>7</v>
      </c>
      <c r="C137" s="215">
        <v>990120</v>
      </c>
      <c r="D137" s="215" t="s">
        <v>678</v>
      </c>
      <c r="E137" s="216"/>
      <c r="G137" s="214" t="str">
        <f>Table18[[#This Row],[KATEGORI]]</f>
        <v>PERSONAL CARE</v>
      </c>
      <c r="H137" s="214" t="str">
        <f>Table18[[#This Row],[TYPE]]</f>
        <v>RETAIL</v>
      </c>
      <c r="I137" s="215">
        <f>Table18[[#This Row],[ITEM CODE]]</f>
        <v>990120</v>
      </c>
      <c r="J137" s="215" t="str">
        <f>Table18[[#This Row],[ITEM NAME]]</f>
        <v>CUSSON BABY WPS SOFT&amp;SMOOTH 10S</v>
      </c>
      <c r="K137" s="217"/>
    </row>
    <row r="138" spans="1:11" s="219" customFormat="1" hidden="1">
      <c r="A138" s="218" t="s">
        <v>124</v>
      </c>
      <c r="B138" s="218" t="s">
        <v>7</v>
      </c>
      <c r="C138" s="215">
        <v>990121</v>
      </c>
      <c r="D138" s="215" t="s">
        <v>679</v>
      </c>
      <c r="E138" s="216"/>
      <c r="G138" s="214" t="str">
        <f>Table18[[#This Row],[KATEGORI]]</f>
        <v>PERSONAL CARE</v>
      </c>
      <c r="H138" s="214" t="str">
        <f>Table18[[#This Row],[TYPE]]</f>
        <v>RETAIL</v>
      </c>
      <c r="I138" s="215">
        <f>Table18[[#This Row],[ITEM CODE]]</f>
        <v>990121</v>
      </c>
      <c r="J138" s="215" t="str">
        <f>Table18[[#This Row],[ITEM NAME]]</f>
        <v>CUSSON BABY WPS MILD&amp;GENTLE 10S</v>
      </c>
      <c r="K138" s="217"/>
    </row>
    <row r="139" spans="1:11" s="219" customFormat="1" hidden="1">
      <c r="A139" s="218" t="s">
        <v>124</v>
      </c>
      <c r="B139" s="218" t="s">
        <v>7</v>
      </c>
      <c r="C139" s="215">
        <v>990125</v>
      </c>
      <c r="D139" s="215" t="s">
        <v>680</v>
      </c>
      <c r="E139" s="216"/>
      <c r="G139" s="214" t="str">
        <f>Table18[[#This Row],[KATEGORI]]</f>
        <v>PERSONAL CARE</v>
      </c>
      <c r="H139" s="214" t="str">
        <f>Table18[[#This Row],[TYPE]]</f>
        <v>RETAIL</v>
      </c>
      <c r="I139" s="215">
        <f>Table18[[#This Row],[ITEM CODE]]</f>
        <v>990125</v>
      </c>
      <c r="J139" s="215" t="str">
        <f>Table18[[#This Row],[ITEM NAME]]</f>
        <v>CUSSON BABY WPS FRESH&amp;NOURISH 10S</v>
      </c>
      <c r="K139" s="217"/>
    </row>
    <row r="140" spans="1:11" s="219" customFormat="1" hidden="1">
      <c r="A140" s="218" t="s">
        <v>40</v>
      </c>
      <c r="B140" s="218" t="s">
        <v>7</v>
      </c>
      <c r="C140" s="215">
        <v>990133</v>
      </c>
      <c r="D140" s="215" t="s">
        <v>760</v>
      </c>
      <c r="E140" s="216"/>
      <c r="G140" s="214" t="str">
        <f>Table18[[#This Row],[KATEGORI]]</f>
        <v>ACCS MOBIL</v>
      </c>
      <c r="H140" s="214" t="str">
        <f>Table18[[#This Row],[TYPE]]</f>
        <v>RETAIL</v>
      </c>
      <c r="I140" s="215">
        <f>Table18[[#This Row],[ITEM CODE]]</f>
        <v>990133</v>
      </c>
      <c r="J140" s="215" t="str">
        <f>Table18[[#This Row],[ITEM NAME]]</f>
        <v>CUBE CANEBO</v>
      </c>
      <c r="K140" s="217"/>
    </row>
    <row r="141" spans="1:11" s="219" customFormat="1" hidden="1">
      <c r="A141" s="218" t="s">
        <v>6</v>
      </c>
      <c r="B141" s="218" t="s">
        <v>7</v>
      </c>
      <c r="C141" s="215">
        <v>988100006</v>
      </c>
      <c r="D141" s="215" t="s">
        <v>681</v>
      </c>
      <c r="E141" s="216"/>
      <c r="G141" s="214" t="str">
        <f>Table18[[#This Row],[KATEGORI]]</f>
        <v>MINUMAN</v>
      </c>
      <c r="H141" s="214" t="str">
        <f>Table18[[#This Row],[TYPE]]</f>
        <v>RETAIL</v>
      </c>
      <c r="I141" s="215">
        <f>Table18[[#This Row],[ITEM CODE]]</f>
        <v>988100006</v>
      </c>
      <c r="J141" s="215" t="str">
        <f>Table18[[#This Row],[ITEM NAME]]</f>
        <v>CAP PANDA LECI 310ML</v>
      </c>
      <c r="K141" s="217"/>
    </row>
    <row r="142" spans="1:11" s="219" customFormat="1">
      <c r="A142" s="218" t="s">
        <v>6</v>
      </c>
      <c r="B142" s="218" t="s">
        <v>7</v>
      </c>
      <c r="C142" s="215">
        <v>988100021</v>
      </c>
      <c r="D142" s="215" t="s">
        <v>11</v>
      </c>
      <c r="E142" s="216">
        <v>2</v>
      </c>
      <c r="G142" s="214" t="str">
        <f>Table18[[#This Row],[KATEGORI]]</f>
        <v>MINUMAN</v>
      </c>
      <c r="H142" s="214" t="str">
        <f>Table18[[#This Row],[TYPE]]</f>
        <v>RETAIL</v>
      </c>
      <c r="I142" s="215">
        <f>Table18[[#This Row],[ITEM CODE]]</f>
        <v>988100021</v>
      </c>
      <c r="J142" s="215" t="str">
        <f>Table18[[#This Row],[ITEM NAME]]</f>
        <v>NU GREEN TEA LESS SUGAR 450ML</v>
      </c>
      <c r="K142" s="217">
        <v>19</v>
      </c>
    </row>
    <row r="143" spans="1:11" s="219" customFormat="1">
      <c r="A143" s="218" t="s">
        <v>6</v>
      </c>
      <c r="B143" s="218" t="s">
        <v>7</v>
      </c>
      <c r="C143" s="215">
        <v>988100024</v>
      </c>
      <c r="D143" s="215" t="s">
        <v>12</v>
      </c>
      <c r="E143" s="216">
        <v>8</v>
      </c>
      <c r="G143" s="214" t="str">
        <f>Table18[[#This Row],[KATEGORI]]</f>
        <v>MINUMAN</v>
      </c>
      <c r="H143" s="214" t="str">
        <f>Table18[[#This Row],[TYPE]]</f>
        <v>RETAIL</v>
      </c>
      <c r="I143" s="215">
        <f>Table18[[#This Row],[ITEM CODE]]</f>
        <v>988100024</v>
      </c>
      <c r="J143" s="215" t="str">
        <f>Table18[[#This Row],[ITEM NAME]]</f>
        <v>NU MILK TEA 330ML</v>
      </c>
      <c r="K143" s="217">
        <v>18</v>
      </c>
    </row>
    <row r="144" spans="1:11" s="219" customFormat="1">
      <c r="A144" s="218" t="s">
        <v>6</v>
      </c>
      <c r="B144" s="218" t="s">
        <v>7</v>
      </c>
      <c r="C144" s="215">
        <v>988100025</v>
      </c>
      <c r="D144" s="215" t="s">
        <v>13</v>
      </c>
      <c r="E144" s="216">
        <v>16</v>
      </c>
      <c r="G144" s="214" t="str">
        <f>Table18[[#This Row],[KATEGORI]]</f>
        <v>MINUMAN</v>
      </c>
      <c r="H144" s="214" t="str">
        <f>Table18[[#This Row],[TYPE]]</f>
        <v>RETAIL</v>
      </c>
      <c r="I144" s="215">
        <f>Table18[[#This Row],[ITEM CODE]]</f>
        <v>988100025</v>
      </c>
      <c r="J144" s="215" t="str">
        <f>Table18[[#This Row],[ITEM NAME]]</f>
        <v>NU TEH TARIK 330ML</v>
      </c>
      <c r="K144" s="217">
        <v>33</v>
      </c>
    </row>
    <row r="145" spans="1:11" s="219" customFormat="1" hidden="1">
      <c r="A145" s="218" t="s">
        <v>6</v>
      </c>
      <c r="B145" s="218" t="s">
        <v>7</v>
      </c>
      <c r="C145" s="215">
        <v>988100026</v>
      </c>
      <c r="D145" s="215" t="s">
        <v>21</v>
      </c>
      <c r="E145" s="216"/>
      <c r="G145" s="214" t="str">
        <f>Table18[[#This Row],[KATEGORI]]</f>
        <v>MINUMAN</v>
      </c>
      <c r="H145" s="214" t="str">
        <f>Table18[[#This Row],[TYPE]]</f>
        <v>RETAIL</v>
      </c>
      <c r="I145" s="215">
        <f>Table18[[#This Row],[ITEM CODE]]</f>
        <v>988100026</v>
      </c>
      <c r="J145" s="215" t="str">
        <f>Table18[[#This Row],[ITEM NAME]]</f>
        <v>ADEM SARI CHINGKU 320ML</v>
      </c>
      <c r="K145" s="217"/>
    </row>
    <row r="146" spans="1:11" s="219" customFormat="1" hidden="1">
      <c r="A146" s="218" t="s">
        <v>89</v>
      </c>
      <c r="B146" s="218" t="s">
        <v>7</v>
      </c>
      <c r="C146" s="215">
        <v>988100034</v>
      </c>
      <c r="D146" s="215" t="s">
        <v>108</v>
      </c>
      <c r="E146" s="216"/>
      <c r="G146" s="214" t="str">
        <f>Table18[[#This Row],[KATEGORI]]</f>
        <v>ES KRIM</v>
      </c>
      <c r="H146" s="214" t="str">
        <f>Table18[[#This Row],[TYPE]]</f>
        <v>RETAIL</v>
      </c>
      <c r="I146" s="215">
        <f>Table18[[#This Row],[ITEM CODE]]</f>
        <v>988100034</v>
      </c>
      <c r="J146" s="215" t="str">
        <f>Table18[[#This Row],[ITEM NAME]]</f>
        <v>GLC WAKU WAKU MANGOO LOOP60ML</v>
      </c>
      <c r="K146" s="217"/>
    </row>
    <row r="147" spans="1:11" s="219" customFormat="1" hidden="1">
      <c r="A147" s="218" t="s">
        <v>89</v>
      </c>
      <c r="B147" s="218" t="s">
        <v>7</v>
      </c>
      <c r="C147" s="215">
        <v>988100037</v>
      </c>
      <c r="D147" s="215" t="s">
        <v>846</v>
      </c>
      <c r="E147" s="216"/>
      <c r="G147" s="214" t="str">
        <f>Table18[[#This Row],[KATEGORI]]</f>
        <v>ES KRIM</v>
      </c>
      <c r="H147" s="214" t="str">
        <f>Table18[[#This Row],[TYPE]]</f>
        <v>RETAIL</v>
      </c>
      <c r="I147" s="215">
        <f>Table18[[#This Row],[ITEM CODE]]</f>
        <v>988100037</v>
      </c>
      <c r="J147" s="215" t="str">
        <f>Table18[[#This Row],[ITEM NAME]]</f>
        <v>GLC HAKU MONAKA CHOCO&amp;CHOCO 180ML</v>
      </c>
      <c r="K147" s="217"/>
    </row>
    <row r="148" spans="1:11" s="219" customFormat="1">
      <c r="A148" s="218" t="s">
        <v>89</v>
      </c>
      <c r="B148" s="218" t="s">
        <v>7</v>
      </c>
      <c r="C148" s="215">
        <v>988100040</v>
      </c>
      <c r="D148" s="215" t="s">
        <v>100</v>
      </c>
      <c r="E148" s="216"/>
      <c r="G148" s="214" t="str">
        <f>Table18[[#This Row],[KATEGORI]]</f>
        <v>ES KRIM</v>
      </c>
      <c r="H148" s="214" t="str">
        <f>Table18[[#This Row],[TYPE]]</f>
        <v>RETAIL</v>
      </c>
      <c r="I148" s="215">
        <f>Table18[[#This Row],[ITEM CODE]]</f>
        <v>988100040</v>
      </c>
      <c r="J148" s="215" t="str">
        <f>Table18[[#This Row],[ITEM NAME]]</f>
        <v>GLC WAKU WAKU COCOLOOP 50ML</v>
      </c>
      <c r="K148" s="217">
        <v>2</v>
      </c>
    </row>
    <row r="149" spans="1:11" s="219" customFormat="1" hidden="1">
      <c r="A149" s="218" t="s">
        <v>25</v>
      </c>
      <c r="B149" s="218" t="s">
        <v>7</v>
      </c>
      <c r="C149" s="215">
        <v>988100046</v>
      </c>
      <c r="D149" s="215" t="s">
        <v>266</v>
      </c>
      <c r="E149" s="216"/>
      <c r="G149" s="214" t="str">
        <f>Table18[[#This Row],[KATEGORI]]</f>
        <v>SNACK</v>
      </c>
      <c r="H149" s="214" t="str">
        <f>Table18[[#This Row],[TYPE]]</f>
        <v>RETAIL</v>
      </c>
      <c r="I149" s="215">
        <f>Table18[[#This Row],[ITEM CODE]]</f>
        <v>988100046</v>
      </c>
      <c r="J149" s="215" t="str">
        <f>Table18[[#This Row],[ITEM NAME]]</f>
        <v>Regal BISCUIT 15GR</v>
      </c>
      <c r="K149" s="217"/>
    </row>
    <row r="150" spans="1:11" s="219" customFormat="1" hidden="1">
      <c r="A150" s="218" t="s">
        <v>25</v>
      </c>
      <c r="B150" s="218" t="s">
        <v>7</v>
      </c>
      <c r="C150" s="215">
        <v>988100048</v>
      </c>
      <c r="D150" s="215" t="s">
        <v>267</v>
      </c>
      <c r="E150" s="216"/>
      <c r="G150" s="214" t="str">
        <f>Table18[[#This Row],[KATEGORI]]</f>
        <v>SNACK</v>
      </c>
      <c r="H150" s="214" t="str">
        <f>Table18[[#This Row],[TYPE]]</f>
        <v>RETAIL</v>
      </c>
      <c r="I150" s="215">
        <f>Table18[[#This Row],[ITEM CODE]]</f>
        <v>988100048</v>
      </c>
      <c r="J150" s="215" t="str">
        <f>Table18[[#This Row],[ITEM NAME]]</f>
        <v>SUKRO ORIGINAL 20g</v>
      </c>
      <c r="K150" s="217"/>
    </row>
    <row r="151" spans="1:11" s="219" customFormat="1" hidden="1">
      <c r="A151" s="218" t="s">
        <v>25</v>
      </c>
      <c r="B151" s="218" t="s">
        <v>7</v>
      </c>
      <c r="C151" s="215">
        <v>988100063</v>
      </c>
      <c r="D151" s="215" t="s">
        <v>686</v>
      </c>
      <c r="E151" s="216"/>
      <c r="G151" s="214" t="str">
        <f>Table18[[#This Row],[KATEGORI]]</f>
        <v>SNACK</v>
      </c>
      <c r="H151" s="214" t="str">
        <f>Table18[[#This Row],[TYPE]]</f>
        <v>RETAIL</v>
      </c>
      <c r="I151" s="215">
        <f>Table18[[#This Row],[ITEM CODE]]</f>
        <v>988100063</v>
      </c>
      <c r="J151" s="215" t="str">
        <f>Table18[[#This Row],[ITEM NAME]]</f>
        <v>SUKRO BBQ 20GR</v>
      </c>
      <c r="K151" s="217"/>
    </row>
    <row r="152" spans="1:11" s="219" customFormat="1">
      <c r="A152" s="218" t="s">
        <v>40</v>
      </c>
      <c r="B152" s="218" t="s">
        <v>7</v>
      </c>
      <c r="C152" s="215">
        <v>988100066</v>
      </c>
      <c r="D152" s="215" t="s">
        <v>63</v>
      </c>
      <c r="E152" s="216">
        <v>37</v>
      </c>
      <c r="G152" s="214" t="str">
        <f>Table18[[#This Row],[KATEGORI]]</f>
        <v>ACCS MOBIL</v>
      </c>
      <c r="H152" s="214" t="str">
        <f>Table18[[#This Row],[TYPE]]</f>
        <v>RETAIL</v>
      </c>
      <c r="I152" s="215">
        <f>Table18[[#This Row],[ITEM CODE]]</f>
        <v>988100066</v>
      </c>
      <c r="J152" s="215" t="str">
        <f>Table18[[#This Row],[ITEM NAME]]</f>
        <v>CUBE HP PERCY</v>
      </c>
      <c r="K152" s="217"/>
    </row>
    <row r="153" spans="1:11" s="219" customFormat="1" hidden="1">
      <c r="A153" s="218" t="s">
        <v>40</v>
      </c>
      <c r="B153" s="218" t="s">
        <v>7</v>
      </c>
      <c r="C153" s="215">
        <v>988100067</v>
      </c>
      <c r="D153" s="215" t="s">
        <v>687</v>
      </c>
      <c r="E153" s="216"/>
      <c r="G153" s="214" t="str">
        <f>Table18[[#This Row],[KATEGORI]]</f>
        <v>ACCS MOBIL</v>
      </c>
      <c r="H153" s="214" t="str">
        <f>Table18[[#This Row],[TYPE]]</f>
        <v>RETAIL</v>
      </c>
      <c r="I153" s="215">
        <f>Table18[[#This Row],[ITEM CODE]]</f>
        <v>988100067</v>
      </c>
      <c r="J153" s="215" t="str">
        <f>Table18[[#This Row],[ITEM NAME]]</f>
        <v>CUBE HP BREEZY</v>
      </c>
      <c r="K153" s="217"/>
    </row>
    <row r="154" spans="1:11" s="219" customFormat="1">
      <c r="A154" s="218" t="s">
        <v>40</v>
      </c>
      <c r="B154" s="218" t="s">
        <v>7</v>
      </c>
      <c r="C154" s="215">
        <v>988100068</v>
      </c>
      <c r="D154" s="215" t="s">
        <v>65</v>
      </c>
      <c r="E154" s="216">
        <v>56</v>
      </c>
      <c r="G154" s="214" t="str">
        <f>Table18[[#This Row],[KATEGORI]]</f>
        <v>ACCS MOBIL</v>
      </c>
      <c r="H154" s="214" t="str">
        <f>Table18[[#This Row],[TYPE]]</f>
        <v>RETAIL</v>
      </c>
      <c r="I154" s="215">
        <f>Table18[[#This Row],[ITEM CODE]]</f>
        <v>988100068</v>
      </c>
      <c r="J154" s="215" t="str">
        <f>Table18[[#This Row],[ITEM NAME]]</f>
        <v>Cube HP EXPOSE</v>
      </c>
      <c r="K154" s="217"/>
    </row>
    <row r="155" spans="1:11" s="219" customFormat="1" hidden="1">
      <c r="A155" s="218" t="s">
        <v>25</v>
      </c>
      <c r="B155" s="218" t="s">
        <v>7</v>
      </c>
      <c r="C155" s="215">
        <v>988100077</v>
      </c>
      <c r="D155" s="215" t="s">
        <v>688</v>
      </c>
      <c r="E155" s="216"/>
      <c r="G155" s="214" t="str">
        <f>Table18[[#This Row],[KATEGORI]]</f>
        <v>SNACK</v>
      </c>
      <c r="H155" s="214" t="str">
        <f>Table18[[#This Row],[TYPE]]</f>
        <v>RETAIL</v>
      </c>
      <c r="I155" s="215">
        <f>Table18[[#This Row],[ITEM CODE]]</f>
        <v>988100077</v>
      </c>
      <c r="J155" s="215" t="str">
        <f>Table18[[#This Row],[ITEM NAME]]</f>
        <v>MOMOGI STIK CAPUCCINO 8gr</v>
      </c>
      <c r="K155" s="217"/>
    </row>
    <row r="156" spans="1:11" s="219" customFormat="1">
      <c r="A156" s="218" t="s">
        <v>40</v>
      </c>
      <c r="B156" s="218" t="s">
        <v>7</v>
      </c>
      <c r="C156" s="215">
        <v>988100088</v>
      </c>
      <c r="D156" s="215" t="s">
        <v>69</v>
      </c>
      <c r="E156" s="216">
        <v>37</v>
      </c>
      <c r="G156" s="214" t="str">
        <f>Table18[[#This Row],[KATEGORI]]</f>
        <v>ACCS MOBIL</v>
      </c>
      <c r="H156" s="214" t="str">
        <f>Table18[[#This Row],[TYPE]]</f>
        <v>RETAIL</v>
      </c>
      <c r="I156" s="215">
        <f>Table18[[#This Row],[ITEM CODE]]</f>
        <v>988100088</v>
      </c>
      <c r="J156" s="215" t="str">
        <f>Table18[[#This Row],[ITEM NAME]]</f>
        <v>CUBE HP SUGARY</v>
      </c>
      <c r="K156" s="217"/>
    </row>
    <row r="157" spans="1:11" s="219" customFormat="1" hidden="1">
      <c r="A157" s="218" t="s">
        <v>25</v>
      </c>
      <c r="B157" s="218" t="s">
        <v>7</v>
      </c>
      <c r="C157" s="215">
        <v>988100092</v>
      </c>
      <c r="D157" s="215" t="s">
        <v>689</v>
      </c>
      <c r="E157" s="216"/>
      <c r="G157" s="214" t="str">
        <f>Table18[[#This Row],[KATEGORI]]</f>
        <v>SNACK</v>
      </c>
      <c r="H157" s="214" t="str">
        <f>Table18[[#This Row],[TYPE]]</f>
        <v>RETAIL</v>
      </c>
      <c r="I157" s="215">
        <f>Table18[[#This Row],[ITEM CODE]]</f>
        <v>988100092</v>
      </c>
      <c r="J157" s="215" t="str">
        <f>Table18[[#This Row],[ITEM NAME]]</f>
        <v>GARUDASUKRO ATM 20GR</v>
      </c>
      <c r="K157" s="217"/>
    </row>
    <row r="158" spans="1:11" s="219" customFormat="1" hidden="1">
      <c r="A158" s="218" t="s">
        <v>89</v>
      </c>
      <c r="B158" s="214" t="s">
        <v>7</v>
      </c>
      <c r="C158" s="215">
        <v>988100100</v>
      </c>
      <c r="D158" s="215" t="s">
        <v>847</v>
      </c>
      <c r="E158" s="216"/>
      <c r="G158" s="214" t="str">
        <f>Table18[[#This Row],[KATEGORI]]</f>
        <v>ES KRIM</v>
      </c>
      <c r="H158" s="214" t="str">
        <f>Table18[[#This Row],[TYPE]]</f>
        <v>RETAIL</v>
      </c>
      <c r="I158" s="215">
        <f>Table18[[#This Row],[ITEM CODE]]</f>
        <v>988100100</v>
      </c>
      <c r="J158" s="215" t="str">
        <f>Table18[[#This Row],[ITEM NAME]]</f>
        <v>GLC MONAKA VANILA CRISPY 100ML</v>
      </c>
      <c r="K158" s="217"/>
    </row>
    <row r="159" spans="1:11" s="219" customFormat="1">
      <c r="A159" s="218" t="s">
        <v>40</v>
      </c>
      <c r="B159" s="218" t="s">
        <v>7</v>
      </c>
      <c r="C159" s="215">
        <v>988100124</v>
      </c>
      <c r="D159" s="215" t="s">
        <v>67</v>
      </c>
      <c r="E159" s="216">
        <v>32</v>
      </c>
      <c r="G159" s="214" t="str">
        <f>Table18[[#This Row],[KATEGORI]]</f>
        <v>ACCS MOBIL</v>
      </c>
      <c r="H159" s="214" t="str">
        <f>Table18[[#This Row],[TYPE]]</f>
        <v>RETAIL</v>
      </c>
      <c r="I159" s="215">
        <f>Table18[[#This Row],[ITEM CODE]]</f>
        <v>988100124</v>
      </c>
      <c r="J159" s="215" t="str">
        <f>Table18[[#This Row],[ITEM NAME]]</f>
        <v>Cube hp Tropican</v>
      </c>
      <c r="K159" s="217"/>
    </row>
    <row r="160" spans="1:11" s="219" customFormat="1" hidden="1">
      <c r="A160" s="218" t="s">
        <v>25</v>
      </c>
      <c r="B160" s="214" t="s">
        <v>7</v>
      </c>
      <c r="C160" s="215">
        <v>200428</v>
      </c>
      <c r="D160" s="215" t="s">
        <v>642</v>
      </c>
      <c r="E160" s="216"/>
      <c r="G160" s="214" t="str">
        <f>Table18[[#This Row],[KATEGORI]]</f>
        <v>SNACK</v>
      </c>
      <c r="H160" s="214" t="str">
        <f>Table18[[#This Row],[TYPE]]</f>
        <v>RETAIL</v>
      </c>
      <c r="I160" s="215">
        <f>Table18[[#This Row],[ITEM CODE]]</f>
        <v>200428</v>
      </c>
      <c r="J160" s="215" t="str">
        <f>Table18[[#This Row],[ITEM NAME]]</f>
        <v>BISKUAT BOLU COKLAT 16.6GR</v>
      </c>
      <c r="K160" s="217"/>
    </row>
    <row r="161" spans="1:11" s="219" customFormat="1" hidden="1">
      <c r="A161" s="218" t="s">
        <v>89</v>
      </c>
      <c r="B161" s="214" t="s">
        <v>7</v>
      </c>
      <c r="C161" s="215">
        <v>988100137</v>
      </c>
      <c r="D161" s="215" t="s">
        <v>98</v>
      </c>
      <c r="E161" s="216"/>
      <c r="G161" s="214" t="str">
        <f>Table18[[#This Row],[KATEGORI]]</f>
        <v>ES KRIM</v>
      </c>
      <c r="H161" s="214" t="str">
        <f>Table18[[#This Row],[TYPE]]</f>
        <v>RETAIL</v>
      </c>
      <c r="I161" s="215">
        <f>Table18[[#This Row],[ITEM CODE]]</f>
        <v>988100137</v>
      </c>
      <c r="J161" s="215" t="str">
        <f>Table18[[#This Row],[ITEM NAME]]</f>
        <v>GLC MONAKA starwberry Crispy 100ml</v>
      </c>
      <c r="K161" s="217"/>
    </row>
    <row r="162" spans="1:11" s="219" customFormat="1" hidden="1">
      <c r="A162" s="218" t="s">
        <v>89</v>
      </c>
      <c r="B162" s="214" t="s">
        <v>7</v>
      </c>
      <c r="C162" s="215">
        <v>988100131</v>
      </c>
      <c r="D162" s="215" t="s">
        <v>696</v>
      </c>
      <c r="E162" s="216"/>
      <c r="G162" s="214" t="str">
        <f>Table18[[#This Row],[KATEGORI]]</f>
        <v>ES KRIM</v>
      </c>
      <c r="H162" s="214" t="str">
        <f>Table18[[#This Row],[TYPE]]</f>
        <v>RETAIL</v>
      </c>
      <c r="I162" s="215">
        <f>Table18[[#This Row],[ITEM CODE]]</f>
        <v>988100131</v>
      </c>
      <c r="J162" s="215" t="str">
        <f>Table18[[#This Row],[ITEM NAME]]</f>
        <v>GLC WAKU WAKU STRAWBERRY 60ml</v>
      </c>
      <c r="K162" s="217"/>
    </row>
    <row r="163" spans="1:11" s="219" customFormat="1">
      <c r="A163" s="218" t="s">
        <v>89</v>
      </c>
      <c r="B163" s="214" t="s">
        <v>7</v>
      </c>
      <c r="C163" s="215">
        <v>988100132</v>
      </c>
      <c r="D163" s="215" t="s">
        <v>96</v>
      </c>
      <c r="E163" s="216">
        <v>14</v>
      </c>
      <c r="G163" s="214" t="str">
        <f>Table18[[#This Row],[KATEGORI]]</f>
        <v>ES KRIM</v>
      </c>
      <c r="H163" s="214" t="str">
        <f>Table18[[#This Row],[TYPE]]</f>
        <v>RETAIL</v>
      </c>
      <c r="I163" s="215">
        <f>Table18[[#This Row],[ITEM CODE]]</f>
        <v>988100132</v>
      </c>
      <c r="J163" s="215" t="str">
        <f>Table18[[#This Row],[ITEM NAME]]</f>
        <v>GLC FROSTBITE COOKIE N CREAM 65ML</v>
      </c>
      <c r="K163" s="217">
        <v>1</v>
      </c>
    </row>
    <row r="164" spans="1:11" s="219" customFormat="1" hidden="1">
      <c r="A164" s="218" t="s">
        <v>40</v>
      </c>
      <c r="B164" s="218" t="s">
        <v>41</v>
      </c>
      <c r="C164" s="215">
        <v>988100139</v>
      </c>
      <c r="D164" s="215" t="s">
        <v>700</v>
      </c>
      <c r="E164" s="216"/>
      <c r="G164" s="214" t="str">
        <f>Table18[[#This Row],[KATEGORI]]</f>
        <v>ACCS MOBIL</v>
      </c>
      <c r="H164" s="214" t="str">
        <f>Table18[[#This Row],[TYPE]]</f>
        <v>CONSIGNMENT</v>
      </c>
      <c r="I164" s="215">
        <f>Table18[[#This Row],[ITEM CODE]]</f>
        <v>988100139</v>
      </c>
      <c r="J164" s="215" t="str">
        <f>Table18[[#This Row],[ITEM NAME]]</f>
        <v>OTO GARD DISINFECTANT PINK 250ML</v>
      </c>
      <c r="K164" s="217"/>
    </row>
    <row r="165" spans="1:11" s="219" customFormat="1" hidden="1">
      <c r="A165" s="218" t="s">
        <v>40</v>
      </c>
      <c r="B165" s="218" t="s">
        <v>41</v>
      </c>
      <c r="C165" s="215">
        <v>988100140</v>
      </c>
      <c r="D165" s="215" t="s">
        <v>701</v>
      </c>
      <c r="E165" s="216"/>
      <c r="G165" s="214" t="str">
        <f>Table18[[#This Row],[KATEGORI]]</f>
        <v>ACCS MOBIL</v>
      </c>
      <c r="H165" s="214" t="str">
        <f>Table18[[#This Row],[TYPE]]</f>
        <v>CONSIGNMENT</v>
      </c>
      <c r="I165" s="215">
        <f>Table18[[#This Row],[ITEM CODE]]</f>
        <v>988100140</v>
      </c>
      <c r="J165" s="215" t="str">
        <f>Table18[[#This Row],[ITEM NAME]]</f>
        <v>OTO GARD DISINFECTANT BLUE 250ML</v>
      </c>
      <c r="K165" s="217"/>
    </row>
    <row r="166" spans="1:11" s="219" customFormat="1" hidden="1">
      <c r="A166" s="218" t="s">
        <v>25</v>
      </c>
      <c r="B166" s="218" t="s">
        <v>41</v>
      </c>
      <c r="C166" s="215">
        <v>988100130</v>
      </c>
      <c r="D166" s="215" t="s">
        <v>695</v>
      </c>
      <c r="E166" s="216"/>
      <c r="G166" s="214" t="str">
        <f>Table18[[#This Row],[KATEGORI]]</f>
        <v>SNACK</v>
      </c>
      <c r="H166" s="214" t="str">
        <f>Table18[[#This Row],[TYPE]]</f>
        <v>CONSIGNMENT</v>
      </c>
      <c r="I166" s="215">
        <f>Table18[[#This Row],[ITEM CODE]]</f>
        <v>988100130</v>
      </c>
      <c r="J166" s="215" t="str">
        <f>Table18[[#This Row],[ITEM NAME]]</f>
        <v>KACANG HARFA 130GR</v>
      </c>
      <c r="K166" s="217"/>
    </row>
    <row r="167" spans="1:11" s="219" customFormat="1" hidden="1">
      <c r="A167" s="218" t="s">
        <v>40</v>
      </c>
      <c r="B167" s="218" t="s">
        <v>41</v>
      </c>
      <c r="C167" s="215">
        <v>988100275</v>
      </c>
      <c r="D167" s="215" t="s">
        <v>768</v>
      </c>
      <c r="E167" s="216"/>
      <c r="G167" s="214" t="str">
        <f>Table18[[#This Row],[KATEGORI]]</f>
        <v>ACCS MOBIL</v>
      </c>
      <c r="H167" s="214" t="str">
        <f>Table18[[#This Row],[TYPE]]</f>
        <v>CONSIGNMENT</v>
      </c>
      <c r="I167" s="215">
        <f>Table18[[#This Row],[ITEM CODE]]</f>
        <v>988100275</v>
      </c>
      <c r="J167" s="215" t="str">
        <f>Table18[[#This Row],[ITEM NAME]]</f>
        <v>SPARKLIN SPRAY DISINFECTANT 250ML</v>
      </c>
      <c r="K167" s="217"/>
    </row>
    <row r="168" spans="1:11" s="219" customFormat="1" hidden="1">
      <c r="A168" s="214" t="s">
        <v>309</v>
      </c>
      <c r="B168" s="218" t="s">
        <v>41</v>
      </c>
      <c r="C168" s="215">
        <v>988100222</v>
      </c>
      <c r="D168" s="215" t="s">
        <v>313</v>
      </c>
      <c r="E168" s="216"/>
      <c r="G168" s="214" t="str">
        <f>Table18[[#This Row],[KATEGORI]]</f>
        <v>BUKU</v>
      </c>
      <c r="H168" s="214" t="str">
        <f>Table18[[#This Row],[TYPE]]</f>
        <v>CONSIGNMENT</v>
      </c>
      <c r="I168" s="215">
        <f>Table18[[#This Row],[ITEM CODE]]</f>
        <v>988100222</v>
      </c>
      <c r="J168" s="215" t="str">
        <f>Table18[[#This Row],[ITEM NAME]]</f>
        <v>BR-Miles Kelly Little Press "Q &amp; A Monkey &amp; Apes"</v>
      </c>
      <c r="K168" s="217"/>
    </row>
    <row r="169" spans="1:11" s="219" customFormat="1" hidden="1">
      <c r="A169" s="214" t="s">
        <v>309</v>
      </c>
      <c r="B169" s="218" t="s">
        <v>41</v>
      </c>
      <c r="C169" s="215">
        <v>988100218</v>
      </c>
      <c r="D169" s="215" t="s">
        <v>343</v>
      </c>
      <c r="E169" s="216"/>
      <c r="G169" s="214" t="str">
        <f>Table18[[#This Row],[KATEGORI]]</f>
        <v>BUKU</v>
      </c>
      <c r="H169" s="214" t="str">
        <f>Table18[[#This Row],[TYPE]]</f>
        <v>CONSIGNMENT</v>
      </c>
      <c r="I169" s="215">
        <f>Table18[[#This Row],[ITEM CODE]]</f>
        <v>988100218</v>
      </c>
      <c r="J169" s="215" t="str">
        <f>Table18[[#This Row],[ITEM NAME]]</f>
        <v>BR-Miles Kelly Little Press "Q &amp; A Endangered Animals"</v>
      </c>
      <c r="K169" s="217"/>
    </row>
    <row r="170" spans="1:11" s="219" customFormat="1" hidden="1">
      <c r="A170" s="214" t="s">
        <v>309</v>
      </c>
      <c r="B170" s="218" t="s">
        <v>41</v>
      </c>
      <c r="C170" s="215">
        <v>988100221</v>
      </c>
      <c r="D170" s="215" t="s">
        <v>344</v>
      </c>
      <c r="E170" s="216"/>
      <c r="G170" s="214" t="str">
        <f>Table18[[#This Row],[KATEGORI]]</f>
        <v>BUKU</v>
      </c>
      <c r="H170" s="214" t="str">
        <f>Table18[[#This Row],[TYPE]]</f>
        <v>CONSIGNMENT</v>
      </c>
      <c r="I170" s="215">
        <f>Table18[[#This Row],[ITEM CODE]]</f>
        <v>988100221</v>
      </c>
      <c r="J170" s="215" t="str">
        <f>Table18[[#This Row],[ITEM NAME]]</f>
        <v>BR-Miles Kelly Little Press "Q &amp; A Seahore Life"</v>
      </c>
      <c r="K170" s="217"/>
    </row>
    <row r="171" spans="1:11" s="219" customFormat="1">
      <c r="A171" s="214" t="s">
        <v>309</v>
      </c>
      <c r="B171" s="218" t="s">
        <v>41</v>
      </c>
      <c r="C171" s="215">
        <v>988100214</v>
      </c>
      <c r="D171" s="215" t="s">
        <v>345</v>
      </c>
      <c r="E171" s="216">
        <v>1</v>
      </c>
      <c r="G171" s="214" t="str">
        <f>Table18[[#This Row],[KATEGORI]]</f>
        <v>BUKU</v>
      </c>
      <c r="H171" s="214" t="str">
        <f>Table18[[#This Row],[TYPE]]</f>
        <v>CONSIGNMENT</v>
      </c>
      <c r="I171" s="215">
        <f>Table18[[#This Row],[ITEM CODE]]</f>
        <v>988100214</v>
      </c>
      <c r="J171" s="215" t="str">
        <f>Table18[[#This Row],[ITEM NAME]]</f>
        <v>BR-Miles Kelly Little Press "Q &amp; A Big Cats"</v>
      </c>
      <c r="K171" s="217"/>
    </row>
    <row r="172" spans="1:11" s="219" customFormat="1" hidden="1">
      <c r="A172" s="214" t="s">
        <v>309</v>
      </c>
      <c r="B172" s="218" t="s">
        <v>41</v>
      </c>
      <c r="C172" s="215">
        <v>988100217</v>
      </c>
      <c r="D172" s="215" t="s">
        <v>346</v>
      </c>
      <c r="E172" s="216"/>
      <c r="G172" s="214" t="str">
        <f>Table18[[#This Row],[KATEGORI]]</f>
        <v>BUKU</v>
      </c>
      <c r="H172" s="214" t="str">
        <f>Table18[[#This Row],[TYPE]]</f>
        <v>CONSIGNMENT</v>
      </c>
      <c r="I172" s="215">
        <f>Table18[[#This Row],[ITEM CODE]]</f>
        <v>988100217</v>
      </c>
      <c r="J172" s="215" t="str">
        <f>Table18[[#This Row],[ITEM NAME]]</f>
        <v>BR-Miles Kelly Little Press "Q &amp; A Coral Reef"</v>
      </c>
      <c r="K172" s="217"/>
    </row>
    <row r="173" spans="1:11" s="219" customFormat="1" hidden="1">
      <c r="A173" s="214" t="s">
        <v>309</v>
      </c>
      <c r="B173" s="218" t="s">
        <v>41</v>
      </c>
      <c r="C173" s="215">
        <v>988100220</v>
      </c>
      <c r="D173" s="215" t="s">
        <v>347</v>
      </c>
      <c r="E173" s="216"/>
      <c r="G173" s="214" t="str">
        <f>Table18[[#This Row],[KATEGORI]]</f>
        <v>BUKU</v>
      </c>
      <c r="H173" s="214" t="str">
        <f>Table18[[#This Row],[TYPE]]</f>
        <v>CONSIGNMENT</v>
      </c>
      <c r="I173" s="215">
        <f>Table18[[#This Row],[ITEM CODE]]</f>
        <v>988100220</v>
      </c>
      <c r="J173" s="215" t="str">
        <f>Table18[[#This Row],[ITEM NAME]]</f>
        <v>BR-Miles Kelly Little Press "Q &amp; A Reptiles &amp; Amphibians"</v>
      </c>
      <c r="K173" s="217"/>
    </row>
    <row r="174" spans="1:11" s="219" customFormat="1" hidden="1">
      <c r="A174" s="214" t="s">
        <v>309</v>
      </c>
      <c r="B174" s="218" t="s">
        <v>41</v>
      </c>
      <c r="C174" s="215">
        <v>988100215</v>
      </c>
      <c r="D174" s="215" t="s">
        <v>348</v>
      </c>
      <c r="E174" s="216"/>
      <c r="G174" s="214" t="str">
        <f>Table18[[#This Row],[KATEGORI]]</f>
        <v>BUKU</v>
      </c>
      <c r="H174" s="214" t="str">
        <f>Table18[[#This Row],[TYPE]]</f>
        <v>CONSIGNMENT</v>
      </c>
      <c r="I174" s="215">
        <f>Table18[[#This Row],[ITEM CODE]]</f>
        <v>988100215</v>
      </c>
      <c r="J174" s="215" t="str">
        <f>Table18[[#This Row],[ITEM NAME]]</f>
        <v>BR-Miles Kelly Little Press "Q &amp; A Whales &amp; Dolphins"</v>
      </c>
      <c r="K174" s="217"/>
    </row>
    <row r="175" spans="1:11" s="219" customFormat="1" hidden="1">
      <c r="A175" s="214" t="s">
        <v>309</v>
      </c>
      <c r="B175" s="218" t="s">
        <v>41</v>
      </c>
      <c r="C175" s="215">
        <v>988100219</v>
      </c>
      <c r="D175" s="215" t="s">
        <v>349</v>
      </c>
      <c r="E175" s="216"/>
      <c r="G175" s="214" t="str">
        <f>Table18[[#This Row],[KATEGORI]]</f>
        <v>BUKU</v>
      </c>
      <c r="H175" s="214" t="str">
        <f>Table18[[#This Row],[TYPE]]</f>
        <v>CONSIGNMENT</v>
      </c>
      <c r="I175" s="215">
        <f>Table18[[#This Row],[ITEM CODE]]</f>
        <v>988100219</v>
      </c>
      <c r="J175" s="215" t="str">
        <f>Table18[[#This Row],[ITEM NAME]]</f>
        <v>BR-Miles Kelly Little Press "Q &amp; A Baby Animals"</v>
      </c>
      <c r="K175" s="217"/>
    </row>
    <row r="176" spans="1:11" s="219" customFormat="1" hidden="1">
      <c r="A176" s="214" t="s">
        <v>309</v>
      </c>
      <c r="B176" s="218" t="s">
        <v>41</v>
      </c>
      <c r="C176" s="215">
        <v>988100213</v>
      </c>
      <c r="D176" s="215" t="s">
        <v>350</v>
      </c>
      <c r="E176" s="216"/>
      <c r="G176" s="214" t="str">
        <f>Table18[[#This Row],[KATEGORI]]</f>
        <v>BUKU</v>
      </c>
      <c r="H176" s="214" t="str">
        <f>Table18[[#This Row],[TYPE]]</f>
        <v>CONSIGNMENT</v>
      </c>
      <c r="I176" s="215">
        <f>Table18[[#This Row],[ITEM CODE]]</f>
        <v>988100213</v>
      </c>
      <c r="J176" s="215" t="str">
        <f>Table18[[#This Row],[ITEM NAME]]</f>
        <v>BR-Miles Kelly Little Press "Q &amp; A Sharks"</v>
      </c>
      <c r="K176" s="217"/>
    </row>
    <row r="177" spans="1:11" s="219" customFormat="1">
      <c r="A177" s="214" t="s">
        <v>309</v>
      </c>
      <c r="B177" s="218" t="s">
        <v>41</v>
      </c>
      <c r="C177" s="215">
        <v>988100216</v>
      </c>
      <c r="D177" s="215" t="s">
        <v>351</v>
      </c>
      <c r="E177" s="216">
        <v>1</v>
      </c>
      <c r="G177" s="214" t="str">
        <f>Table18[[#This Row],[KATEGORI]]</f>
        <v>BUKU</v>
      </c>
      <c r="H177" s="214" t="str">
        <f>Table18[[#This Row],[TYPE]]</f>
        <v>CONSIGNMENT</v>
      </c>
      <c r="I177" s="215">
        <f>Table18[[#This Row],[ITEM CODE]]</f>
        <v>988100216</v>
      </c>
      <c r="J177" s="215" t="str">
        <f>Table18[[#This Row],[ITEM NAME]]</f>
        <v>BR-Miles Kelly Little Press "Q &amp; A Bugs"</v>
      </c>
      <c r="K177" s="217"/>
    </row>
    <row r="178" spans="1:11" s="219" customFormat="1" hidden="1">
      <c r="A178" s="214" t="s">
        <v>309</v>
      </c>
      <c r="B178" s="218" t="s">
        <v>41</v>
      </c>
      <c r="C178" s="215">
        <v>988100253</v>
      </c>
      <c r="D178" s="215" t="s">
        <v>342</v>
      </c>
      <c r="E178" s="216"/>
      <c r="G178" s="214" t="str">
        <f>Table18[[#This Row],[KATEGORI]]</f>
        <v>BUKU</v>
      </c>
      <c r="H178" s="214" t="str">
        <f>Table18[[#This Row],[TYPE]]</f>
        <v>CONSIGNMENT</v>
      </c>
      <c r="I178" s="215">
        <f>Table18[[#This Row],[ITEM CODE]]</f>
        <v>988100253</v>
      </c>
      <c r="J178" s="215" t="str">
        <f>Table18[[#This Row],[ITEM NAME]]</f>
        <v>BR-Learning Fun With Stickers Numbers 123</v>
      </c>
      <c r="K178" s="217"/>
    </row>
    <row r="179" spans="1:11" s="219" customFormat="1" hidden="1">
      <c r="A179" s="214" t="s">
        <v>309</v>
      </c>
      <c r="B179" s="218" t="s">
        <v>41</v>
      </c>
      <c r="C179" s="215">
        <v>988100338</v>
      </c>
      <c r="D179" s="215" t="s">
        <v>352</v>
      </c>
      <c r="E179" s="216"/>
      <c r="G179" s="214" t="str">
        <f>Table18[[#This Row],[KATEGORI]]</f>
        <v>BUKU</v>
      </c>
      <c r="H179" s="214" t="str">
        <f>Table18[[#This Row],[TYPE]]</f>
        <v>CONSIGNMENT</v>
      </c>
      <c r="I179" s="215">
        <f>Table18[[#This Row],[ITEM CODE]]</f>
        <v>988100338</v>
      </c>
      <c r="J179" s="215" t="str">
        <f>Table18[[#This Row],[ITEM NAME]]</f>
        <v>My First Dot to Dot - Things That Go</v>
      </c>
      <c r="K179" s="217"/>
    </row>
    <row r="180" spans="1:11" s="219" customFormat="1" hidden="1">
      <c r="A180" s="214" t="s">
        <v>309</v>
      </c>
      <c r="B180" s="218" t="s">
        <v>41</v>
      </c>
      <c r="C180" s="215">
        <v>988100339</v>
      </c>
      <c r="D180" s="215" t="s">
        <v>353</v>
      </c>
      <c r="E180" s="216"/>
      <c r="G180" s="214" t="str">
        <f>Table18[[#This Row],[KATEGORI]]</f>
        <v>BUKU</v>
      </c>
      <c r="H180" s="214" t="str">
        <f>Table18[[#This Row],[TYPE]]</f>
        <v>CONSIGNMENT</v>
      </c>
      <c r="I180" s="215">
        <f>Table18[[#This Row],[ITEM CODE]]</f>
        <v>988100339</v>
      </c>
      <c r="J180" s="215" t="str">
        <f>Table18[[#This Row],[ITEM NAME]]</f>
        <v>Step By Step Coloring Book - Transportation</v>
      </c>
      <c r="K180" s="217"/>
    </row>
    <row r="181" spans="1:11" s="219" customFormat="1" hidden="1">
      <c r="A181" s="214" t="s">
        <v>309</v>
      </c>
      <c r="B181" s="218" t="s">
        <v>41</v>
      </c>
      <c r="C181" s="215">
        <v>988100340</v>
      </c>
      <c r="D181" s="215" t="s">
        <v>354</v>
      </c>
      <c r="E181" s="216"/>
      <c r="G181" s="214" t="str">
        <f>Table18[[#This Row],[KATEGORI]]</f>
        <v>BUKU</v>
      </c>
      <c r="H181" s="214" t="str">
        <f>Table18[[#This Row],[TYPE]]</f>
        <v>CONSIGNMENT</v>
      </c>
      <c r="I181" s="215">
        <f>Table18[[#This Row],[ITEM CODE]]</f>
        <v>988100340</v>
      </c>
      <c r="J181" s="215" t="str">
        <f>Table18[[#This Row],[ITEM NAME]]</f>
        <v>Bright Kids Book - IQ 2</v>
      </c>
      <c r="K181" s="217"/>
    </row>
    <row r="182" spans="1:11" s="219" customFormat="1" hidden="1">
      <c r="A182" s="214" t="s">
        <v>309</v>
      </c>
      <c r="B182" s="218" t="s">
        <v>41</v>
      </c>
      <c r="C182" s="215">
        <v>988100341</v>
      </c>
      <c r="D182" s="215" t="s">
        <v>355</v>
      </c>
      <c r="E182" s="216"/>
      <c r="G182" s="214" t="str">
        <f>Table18[[#This Row],[KATEGORI]]</f>
        <v>BUKU</v>
      </c>
      <c r="H182" s="214" t="str">
        <f>Table18[[#This Row],[TYPE]]</f>
        <v>CONSIGNMENT</v>
      </c>
      <c r="I182" s="215">
        <f>Table18[[#This Row],[ITEM CODE]]</f>
        <v>988100341</v>
      </c>
      <c r="J182" s="215" t="str">
        <f>Table18[[#This Row],[ITEM NAME]]</f>
        <v>Bright Kids Book - IQ 1</v>
      </c>
      <c r="K182" s="217"/>
    </row>
    <row r="183" spans="1:11" s="219" customFormat="1" hidden="1">
      <c r="A183" s="214" t="s">
        <v>309</v>
      </c>
      <c r="B183" s="218" t="s">
        <v>41</v>
      </c>
      <c r="C183" s="215">
        <v>988100342</v>
      </c>
      <c r="D183" s="215" t="s">
        <v>356</v>
      </c>
      <c r="E183" s="216"/>
      <c r="G183" s="214" t="str">
        <f>Table18[[#This Row],[KATEGORI]]</f>
        <v>BUKU</v>
      </c>
      <c r="H183" s="214" t="str">
        <f>Table18[[#This Row],[TYPE]]</f>
        <v>CONSIGNMENT</v>
      </c>
      <c r="I183" s="215">
        <f>Table18[[#This Row],[ITEM CODE]]</f>
        <v>988100342</v>
      </c>
      <c r="J183" s="215" t="str">
        <f>Table18[[#This Row],[ITEM NAME]]</f>
        <v xml:space="preserve">Bright Kids Book - IQ K1 </v>
      </c>
      <c r="K183" s="217"/>
    </row>
    <row r="184" spans="1:11" s="219" customFormat="1">
      <c r="A184" s="214" t="s">
        <v>309</v>
      </c>
      <c r="B184" s="218" t="s">
        <v>41</v>
      </c>
      <c r="C184" s="215">
        <v>988100343</v>
      </c>
      <c r="D184" s="215" t="s">
        <v>312</v>
      </c>
      <c r="E184" s="216">
        <v>2</v>
      </c>
      <c r="G184" s="214" t="str">
        <f>Table18[[#This Row],[KATEGORI]]</f>
        <v>BUKU</v>
      </c>
      <c r="H184" s="214" t="str">
        <f>Table18[[#This Row],[TYPE]]</f>
        <v>CONSIGNMENT</v>
      </c>
      <c r="I184" s="215">
        <f>Table18[[#This Row],[ITEM CODE]]</f>
        <v>988100343</v>
      </c>
      <c r="J184" s="215" t="str">
        <f>Table18[[#This Row],[ITEM NAME]]</f>
        <v>Bright Kids Book - Nursery Phonics 2</v>
      </c>
      <c r="K184" s="217"/>
    </row>
    <row r="185" spans="1:11" s="219" customFormat="1" hidden="1">
      <c r="A185" s="214" t="s">
        <v>309</v>
      </c>
      <c r="B185" s="218" t="s">
        <v>41</v>
      </c>
      <c r="C185" s="215">
        <v>988100344</v>
      </c>
      <c r="D185" s="215" t="s">
        <v>311</v>
      </c>
      <c r="E185" s="216"/>
      <c r="G185" s="214" t="str">
        <f>Table18[[#This Row],[KATEGORI]]</f>
        <v>BUKU</v>
      </c>
      <c r="H185" s="214" t="str">
        <f>Table18[[#This Row],[TYPE]]</f>
        <v>CONSIGNMENT</v>
      </c>
      <c r="I185" s="215">
        <f>Table18[[#This Row],[ITEM CODE]]</f>
        <v>988100344</v>
      </c>
      <c r="J185" s="215" t="str">
        <f>Table18[[#This Row],[ITEM NAME]]</f>
        <v xml:space="preserve">Bright Kids Book - Nursery Phonics 1 </v>
      </c>
      <c r="K185" s="217"/>
    </row>
    <row r="186" spans="1:11" s="219" customFormat="1" hidden="1">
      <c r="A186" s="214" t="s">
        <v>309</v>
      </c>
      <c r="B186" s="218" t="s">
        <v>41</v>
      </c>
      <c r="C186" s="215">
        <v>988100345</v>
      </c>
      <c r="D186" s="215" t="s">
        <v>357</v>
      </c>
      <c r="E186" s="216"/>
      <c r="G186" s="214" t="str">
        <f>Table18[[#This Row],[KATEGORI]]</f>
        <v>BUKU</v>
      </c>
      <c r="H186" s="214" t="str">
        <f>Table18[[#This Row],[TYPE]]</f>
        <v>CONSIGNMENT</v>
      </c>
      <c r="I186" s="215">
        <f>Table18[[#This Row],[ITEM CODE]]</f>
        <v>988100345</v>
      </c>
      <c r="J186" s="215" t="str">
        <f>Table18[[#This Row],[ITEM NAME]]</f>
        <v xml:space="preserve">Bright Kids Book - Learn and Write Letters and Numbers </v>
      </c>
      <c r="K186" s="217"/>
    </row>
    <row r="187" spans="1:11" s="219" customFormat="1" hidden="1">
      <c r="A187" s="214" t="s">
        <v>309</v>
      </c>
      <c r="B187" s="218" t="s">
        <v>41</v>
      </c>
      <c r="C187" s="215">
        <v>988100346</v>
      </c>
      <c r="D187" s="215" t="s">
        <v>358</v>
      </c>
      <c r="E187" s="216"/>
      <c r="G187" s="214" t="str">
        <f>Table18[[#This Row],[KATEGORI]]</f>
        <v>BUKU</v>
      </c>
      <c r="H187" s="214" t="str">
        <f>Table18[[#This Row],[TYPE]]</f>
        <v>CONSIGNMENT</v>
      </c>
      <c r="I187" s="215">
        <f>Table18[[#This Row],[ITEM CODE]]</f>
        <v>988100346</v>
      </c>
      <c r="J187" s="215" t="str">
        <f>Table18[[#This Row],[ITEM NAME]]</f>
        <v>Bright Kids Book - Nursery Maths 1</v>
      </c>
      <c r="K187" s="217"/>
    </row>
    <row r="188" spans="1:11" s="219" customFormat="1">
      <c r="A188" s="214" t="s">
        <v>309</v>
      </c>
      <c r="B188" s="218" t="s">
        <v>41</v>
      </c>
      <c r="C188" s="215">
        <v>988100347</v>
      </c>
      <c r="D188" s="215" t="s">
        <v>359</v>
      </c>
      <c r="E188" s="216">
        <v>2</v>
      </c>
      <c r="G188" s="214" t="str">
        <f>Table18[[#This Row],[KATEGORI]]</f>
        <v>BUKU</v>
      </c>
      <c r="H188" s="214" t="str">
        <f>Table18[[#This Row],[TYPE]]</f>
        <v>CONSIGNMENT</v>
      </c>
      <c r="I188" s="215">
        <f>Table18[[#This Row],[ITEM CODE]]</f>
        <v>988100347</v>
      </c>
      <c r="J188" s="215" t="str">
        <f>Table18[[#This Row],[ITEM NAME]]</f>
        <v>Focus Kids - English K2</v>
      </c>
      <c r="K188" s="217"/>
    </row>
    <row r="189" spans="1:11" s="219" customFormat="1" hidden="1">
      <c r="A189" s="214" t="s">
        <v>309</v>
      </c>
      <c r="B189" s="218" t="s">
        <v>41</v>
      </c>
      <c r="C189" s="215">
        <v>988100348</v>
      </c>
      <c r="D189" s="215" t="s">
        <v>360</v>
      </c>
      <c r="E189" s="216"/>
      <c r="G189" s="214" t="str">
        <f>Table18[[#This Row],[KATEGORI]]</f>
        <v>BUKU</v>
      </c>
      <c r="H189" s="214" t="str">
        <f>Table18[[#This Row],[TYPE]]</f>
        <v>CONSIGNMENT</v>
      </c>
      <c r="I189" s="215">
        <f>Table18[[#This Row],[ITEM CODE]]</f>
        <v>988100348</v>
      </c>
      <c r="J189" s="215" t="str">
        <f>Table18[[#This Row],[ITEM NAME]]</f>
        <v>Focus Kids - English K1</v>
      </c>
      <c r="K189" s="217"/>
    </row>
    <row r="190" spans="1:11" s="219" customFormat="1" hidden="1">
      <c r="A190" s="214" t="s">
        <v>309</v>
      </c>
      <c r="B190" s="218" t="s">
        <v>41</v>
      </c>
      <c r="C190" s="215">
        <v>988100349</v>
      </c>
      <c r="D190" s="215" t="s">
        <v>361</v>
      </c>
      <c r="E190" s="216"/>
      <c r="G190" s="214" t="str">
        <f>Table18[[#This Row],[KATEGORI]]</f>
        <v>BUKU</v>
      </c>
      <c r="H190" s="214" t="str">
        <f>Table18[[#This Row],[TYPE]]</f>
        <v>CONSIGNMENT</v>
      </c>
      <c r="I190" s="215">
        <f>Table18[[#This Row],[ITEM CODE]]</f>
        <v>988100349</v>
      </c>
      <c r="J190" s="215" t="str">
        <f>Table18[[#This Row],[ITEM NAME]]</f>
        <v>Bright Kids Book - K2 English</v>
      </c>
      <c r="K190" s="217"/>
    </row>
    <row r="191" spans="1:11" s="219" customFormat="1" hidden="1">
      <c r="A191" s="214" t="s">
        <v>309</v>
      </c>
      <c r="B191" s="218" t="s">
        <v>41</v>
      </c>
      <c r="C191" s="215">
        <v>988100350</v>
      </c>
      <c r="D191" s="215" t="s">
        <v>362</v>
      </c>
      <c r="E191" s="216"/>
      <c r="G191" s="214" t="str">
        <f>Table18[[#This Row],[KATEGORI]]</f>
        <v>BUKU</v>
      </c>
      <c r="H191" s="214" t="str">
        <f>Table18[[#This Row],[TYPE]]</f>
        <v>CONSIGNMENT</v>
      </c>
      <c r="I191" s="215">
        <f>Table18[[#This Row],[ITEM CODE]]</f>
        <v>988100350</v>
      </c>
      <c r="J191" s="215" t="str">
        <f>Table18[[#This Row],[ITEM NAME]]</f>
        <v>Bright Kids Book - K1 English</v>
      </c>
      <c r="K191" s="217"/>
    </row>
    <row r="192" spans="1:11" s="219" customFormat="1" hidden="1">
      <c r="A192" s="214" t="s">
        <v>309</v>
      </c>
      <c r="B192" s="218" t="s">
        <v>41</v>
      </c>
      <c r="C192" s="215">
        <v>988100351</v>
      </c>
      <c r="D192" s="215" t="s">
        <v>363</v>
      </c>
      <c r="E192" s="216"/>
      <c r="G192" s="214" t="str">
        <f>Table18[[#This Row],[KATEGORI]]</f>
        <v>BUKU</v>
      </c>
      <c r="H192" s="214" t="str">
        <f>Table18[[#This Row],[TYPE]]</f>
        <v>CONSIGNMENT</v>
      </c>
      <c r="I192" s="215">
        <f>Table18[[#This Row],[ITEM CODE]]</f>
        <v>988100351</v>
      </c>
      <c r="J192" s="215" t="str">
        <f>Table18[[#This Row],[ITEM NAME]]</f>
        <v>Bright Kids Book - K2 Phonics</v>
      </c>
      <c r="K192" s="217"/>
    </row>
    <row r="193" spans="1:11" s="219" customFormat="1" hidden="1">
      <c r="A193" s="214" t="s">
        <v>309</v>
      </c>
      <c r="B193" s="218" t="s">
        <v>41</v>
      </c>
      <c r="C193" s="215">
        <v>988100352</v>
      </c>
      <c r="D193" s="215" t="s">
        <v>364</v>
      </c>
      <c r="E193" s="216"/>
      <c r="G193" s="214" t="str">
        <f>Table18[[#This Row],[KATEGORI]]</f>
        <v>BUKU</v>
      </c>
      <c r="H193" s="214" t="str">
        <f>Table18[[#This Row],[TYPE]]</f>
        <v>CONSIGNMENT</v>
      </c>
      <c r="I193" s="215">
        <f>Table18[[#This Row],[ITEM CODE]]</f>
        <v>988100352</v>
      </c>
      <c r="J193" s="215" t="str">
        <f>Table18[[#This Row],[ITEM NAME]]</f>
        <v>Bright Kids Book - K1 Phonics</v>
      </c>
      <c r="K193" s="217"/>
    </row>
    <row r="194" spans="1:11" s="219" customFormat="1" hidden="1">
      <c r="A194" s="214" t="s">
        <v>309</v>
      </c>
      <c r="B194" s="218" t="s">
        <v>41</v>
      </c>
      <c r="C194" s="215">
        <v>988100353</v>
      </c>
      <c r="D194" s="215" t="s">
        <v>365</v>
      </c>
      <c r="E194" s="216"/>
      <c r="G194" s="214" t="str">
        <f>Table18[[#This Row],[KATEGORI]]</f>
        <v>BUKU</v>
      </c>
      <c r="H194" s="214" t="str">
        <f>Table18[[#This Row],[TYPE]]</f>
        <v>CONSIGNMENT</v>
      </c>
      <c r="I194" s="215">
        <f>Table18[[#This Row],[ITEM CODE]]</f>
        <v>988100353</v>
      </c>
      <c r="J194" s="215" t="str">
        <f>Table18[[#This Row],[ITEM NAME]]</f>
        <v>Bright Kids Book - K2 Maths</v>
      </c>
      <c r="K194" s="217"/>
    </row>
    <row r="195" spans="1:11" s="219" customFormat="1" hidden="1">
      <c r="A195" s="214" t="s">
        <v>309</v>
      </c>
      <c r="B195" s="218" t="s">
        <v>41</v>
      </c>
      <c r="C195" s="215">
        <v>988100354</v>
      </c>
      <c r="D195" s="215" t="s">
        <v>366</v>
      </c>
      <c r="E195" s="216"/>
      <c r="G195" s="214" t="str">
        <f>Table18[[#This Row],[KATEGORI]]</f>
        <v>BUKU</v>
      </c>
      <c r="H195" s="214" t="str">
        <f>Table18[[#This Row],[TYPE]]</f>
        <v>CONSIGNMENT</v>
      </c>
      <c r="I195" s="215">
        <f>Table18[[#This Row],[ITEM CODE]]</f>
        <v>988100354</v>
      </c>
      <c r="J195" s="215" t="str">
        <f>Table18[[#This Row],[ITEM NAME]]</f>
        <v>Bright Kids Book - K1 Maths</v>
      </c>
      <c r="K195" s="217"/>
    </row>
    <row r="196" spans="1:11" s="219" customFormat="1">
      <c r="A196" s="214" t="s">
        <v>309</v>
      </c>
      <c r="B196" s="218" t="s">
        <v>41</v>
      </c>
      <c r="C196" s="215">
        <v>988100355</v>
      </c>
      <c r="D196" s="215" t="s">
        <v>310</v>
      </c>
      <c r="E196" s="216">
        <v>2</v>
      </c>
      <c r="G196" s="214" t="str">
        <f>Table18[[#This Row],[KATEGORI]]</f>
        <v>BUKU</v>
      </c>
      <c r="H196" s="214" t="str">
        <f>Table18[[#This Row],[TYPE]]</f>
        <v>CONSIGNMENT</v>
      </c>
      <c r="I196" s="215">
        <f>Table18[[#This Row],[ITEM CODE]]</f>
        <v>988100355</v>
      </c>
      <c r="J196" s="215" t="str">
        <f>Table18[[#This Row],[ITEM NAME]]</f>
        <v>Bright Kids Book - Nursery English 2</v>
      </c>
      <c r="K196" s="217"/>
    </row>
    <row r="197" spans="1:11" s="219" customFormat="1" hidden="1">
      <c r="A197" s="214" t="s">
        <v>309</v>
      </c>
      <c r="B197" s="218" t="s">
        <v>41</v>
      </c>
      <c r="C197" s="215">
        <v>988100356</v>
      </c>
      <c r="D197" s="215" t="s">
        <v>367</v>
      </c>
      <c r="E197" s="216"/>
      <c r="G197" s="214" t="str">
        <f>Table18[[#This Row],[KATEGORI]]</f>
        <v>BUKU</v>
      </c>
      <c r="H197" s="214" t="str">
        <f>Table18[[#This Row],[TYPE]]</f>
        <v>CONSIGNMENT</v>
      </c>
      <c r="I197" s="215">
        <f>Table18[[#This Row],[ITEM CODE]]</f>
        <v>988100356</v>
      </c>
      <c r="J197" s="215" t="str">
        <f>Table18[[#This Row],[ITEM NAME]]</f>
        <v>Bright Kids Book - Nursery English 1</v>
      </c>
      <c r="K197" s="217"/>
    </row>
    <row r="198" spans="1:11" s="219" customFormat="1">
      <c r="A198" s="214" t="s">
        <v>309</v>
      </c>
      <c r="B198" s="218" t="s">
        <v>41</v>
      </c>
      <c r="C198" s="215">
        <v>988100357</v>
      </c>
      <c r="D198" s="215" t="s">
        <v>368</v>
      </c>
      <c r="E198" s="216">
        <v>1</v>
      </c>
      <c r="G198" s="214" t="str">
        <f>Table18[[#This Row],[KATEGORI]]</f>
        <v>BUKU</v>
      </c>
      <c r="H198" s="214" t="str">
        <f>Table18[[#This Row],[TYPE]]</f>
        <v>CONSIGNMENT</v>
      </c>
      <c r="I198" s="215">
        <f>Table18[[#This Row],[ITEM CODE]]</f>
        <v>988100357</v>
      </c>
      <c r="J198" s="215" t="str">
        <f>Table18[[#This Row],[ITEM NAME]]</f>
        <v>Phonics Enrichment Book B</v>
      </c>
      <c r="K198" s="217"/>
    </row>
    <row r="199" spans="1:11" s="219" customFormat="1" hidden="1">
      <c r="A199" s="214" t="s">
        <v>309</v>
      </c>
      <c r="B199" s="218" t="s">
        <v>41</v>
      </c>
      <c r="C199" s="215">
        <v>988100358</v>
      </c>
      <c r="D199" s="215" t="s">
        <v>369</v>
      </c>
      <c r="E199" s="216"/>
      <c r="G199" s="214" t="str">
        <f>Table18[[#This Row],[KATEGORI]]</f>
        <v>BUKU</v>
      </c>
      <c r="H199" s="214" t="str">
        <f>Table18[[#This Row],[TYPE]]</f>
        <v>CONSIGNMENT</v>
      </c>
      <c r="I199" s="215">
        <f>Table18[[#This Row],[ITEM CODE]]</f>
        <v>988100358</v>
      </c>
      <c r="J199" s="215" t="str">
        <f>Table18[[#This Row],[ITEM NAME]]</f>
        <v>Phonics Enrichment Book A</v>
      </c>
      <c r="K199" s="217"/>
    </row>
    <row r="200" spans="1:11" s="219" customFormat="1" hidden="1">
      <c r="A200" s="214" t="s">
        <v>309</v>
      </c>
      <c r="B200" s="218" t="s">
        <v>41</v>
      </c>
      <c r="C200" s="215">
        <v>988100359</v>
      </c>
      <c r="D200" s="215" t="s">
        <v>370</v>
      </c>
      <c r="E200" s="216"/>
      <c r="G200" s="214" t="str">
        <f>Table18[[#This Row],[KATEGORI]]</f>
        <v>BUKU</v>
      </c>
      <c r="H200" s="214" t="str">
        <f>Table18[[#This Row],[TYPE]]</f>
        <v>CONSIGNMENT</v>
      </c>
      <c r="I200" s="215">
        <f>Table18[[#This Row],[ITEM CODE]]</f>
        <v>988100359</v>
      </c>
      <c r="J200" s="215" t="str">
        <f>Table18[[#This Row],[ITEM NAME]]</f>
        <v>Phonics Activity Book for Preschoolers 4</v>
      </c>
      <c r="K200" s="217"/>
    </row>
    <row r="201" spans="1:11" s="219" customFormat="1" hidden="1">
      <c r="A201" s="214" t="s">
        <v>309</v>
      </c>
      <c r="B201" s="218" t="s">
        <v>41</v>
      </c>
      <c r="C201" s="215">
        <v>988100360</v>
      </c>
      <c r="D201" s="215" t="s">
        <v>371</v>
      </c>
      <c r="E201" s="216"/>
      <c r="G201" s="214" t="str">
        <f>Table18[[#This Row],[KATEGORI]]</f>
        <v>BUKU</v>
      </c>
      <c r="H201" s="214" t="str">
        <f>Table18[[#This Row],[TYPE]]</f>
        <v>CONSIGNMENT</v>
      </c>
      <c r="I201" s="215">
        <f>Table18[[#This Row],[ITEM CODE]]</f>
        <v>988100360</v>
      </c>
      <c r="J201" s="215" t="str">
        <f>Table18[[#This Row],[ITEM NAME]]</f>
        <v>Phonics Activity Book for Preschoolers 3</v>
      </c>
      <c r="K201" s="217"/>
    </row>
    <row r="202" spans="1:11" s="219" customFormat="1" hidden="1">
      <c r="A202" s="214" t="s">
        <v>309</v>
      </c>
      <c r="B202" s="218" t="s">
        <v>41</v>
      </c>
      <c r="C202" s="215">
        <v>988100361</v>
      </c>
      <c r="D202" s="215" t="s">
        <v>372</v>
      </c>
      <c r="E202" s="216"/>
      <c r="G202" s="214" t="str">
        <f>Table18[[#This Row],[KATEGORI]]</f>
        <v>BUKU</v>
      </c>
      <c r="H202" s="214" t="str">
        <f>Table18[[#This Row],[TYPE]]</f>
        <v>CONSIGNMENT</v>
      </c>
      <c r="I202" s="215">
        <f>Table18[[#This Row],[ITEM CODE]]</f>
        <v>988100361</v>
      </c>
      <c r="J202" s="215" t="str">
        <f>Table18[[#This Row],[ITEM NAME]]</f>
        <v>Phonics Activity Book for Preschoolers 2</v>
      </c>
      <c r="K202" s="217"/>
    </row>
    <row r="203" spans="1:11" s="219" customFormat="1" hidden="1">
      <c r="A203" s="214" t="s">
        <v>309</v>
      </c>
      <c r="B203" s="218" t="s">
        <v>41</v>
      </c>
      <c r="C203" s="215">
        <v>988100362</v>
      </c>
      <c r="D203" s="215" t="s">
        <v>373</v>
      </c>
      <c r="E203" s="216"/>
      <c r="G203" s="214" t="str">
        <f>Table18[[#This Row],[KATEGORI]]</f>
        <v>BUKU</v>
      </c>
      <c r="H203" s="214" t="str">
        <f>Table18[[#This Row],[TYPE]]</f>
        <v>CONSIGNMENT</v>
      </c>
      <c r="I203" s="215">
        <f>Table18[[#This Row],[ITEM CODE]]</f>
        <v>988100362</v>
      </c>
      <c r="J203" s="215" t="str">
        <f>Table18[[#This Row],[ITEM NAME]]</f>
        <v>Phonics Activity Book for Preschoolers 1</v>
      </c>
      <c r="K203" s="217"/>
    </row>
    <row r="204" spans="1:11" s="219" customFormat="1" hidden="1">
      <c r="A204" s="214" t="s">
        <v>309</v>
      </c>
      <c r="B204" s="218" t="s">
        <v>41</v>
      </c>
      <c r="C204" s="215">
        <v>988100363</v>
      </c>
      <c r="D204" s="215" t="s">
        <v>374</v>
      </c>
      <c r="E204" s="216"/>
      <c r="G204" s="214" t="str">
        <f>Table18[[#This Row],[KATEGORI]]</f>
        <v>BUKU</v>
      </c>
      <c r="H204" s="214" t="str">
        <f>Table18[[#This Row],[TYPE]]</f>
        <v>CONSIGNMENT</v>
      </c>
      <c r="I204" s="215">
        <f>Table18[[#This Row],[ITEM CODE]]</f>
        <v>988100363</v>
      </c>
      <c r="J204" s="215" t="str">
        <f>Table18[[#This Row],[ITEM NAME]]</f>
        <v>Phonics Reader for Preschoolers 4</v>
      </c>
      <c r="K204" s="217"/>
    </row>
    <row r="205" spans="1:11" s="219" customFormat="1">
      <c r="A205" s="214" t="s">
        <v>309</v>
      </c>
      <c r="B205" s="218" t="s">
        <v>41</v>
      </c>
      <c r="C205" s="215">
        <v>988100364</v>
      </c>
      <c r="D205" s="215" t="s">
        <v>375</v>
      </c>
      <c r="E205" s="216">
        <v>3</v>
      </c>
      <c r="G205" s="214" t="str">
        <f>Table18[[#This Row],[KATEGORI]]</f>
        <v>BUKU</v>
      </c>
      <c r="H205" s="214" t="str">
        <f>Table18[[#This Row],[TYPE]]</f>
        <v>CONSIGNMENT</v>
      </c>
      <c r="I205" s="215">
        <f>Table18[[#This Row],[ITEM CODE]]</f>
        <v>988100364</v>
      </c>
      <c r="J205" s="215" t="str">
        <f>Table18[[#This Row],[ITEM NAME]]</f>
        <v>Phonics Reader for Preschoolers 3</v>
      </c>
      <c r="K205" s="217"/>
    </row>
    <row r="206" spans="1:11" s="219" customFormat="1" hidden="1">
      <c r="A206" s="214" t="s">
        <v>309</v>
      </c>
      <c r="B206" s="218" t="s">
        <v>41</v>
      </c>
      <c r="C206" s="215">
        <v>988100365</v>
      </c>
      <c r="D206" s="215" t="s">
        <v>376</v>
      </c>
      <c r="E206" s="216"/>
      <c r="G206" s="214" t="str">
        <f>Table18[[#This Row],[KATEGORI]]</f>
        <v>BUKU</v>
      </c>
      <c r="H206" s="214" t="str">
        <f>Table18[[#This Row],[TYPE]]</f>
        <v>CONSIGNMENT</v>
      </c>
      <c r="I206" s="215">
        <f>Table18[[#This Row],[ITEM CODE]]</f>
        <v>988100365</v>
      </c>
      <c r="J206" s="215" t="str">
        <f>Table18[[#This Row],[ITEM NAME]]</f>
        <v>Phonics Reader for Preschoolers 2</v>
      </c>
      <c r="K206" s="217"/>
    </row>
    <row r="207" spans="1:11" s="219" customFormat="1" hidden="1">
      <c r="A207" s="214" t="s">
        <v>309</v>
      </c>
      <c r="B207" s="218" t="s">
        <v>41</v>
      </c>
      <c r="C207" s="215">
        <v>988100366</v>
      </c>
      <c r="D207" s="215" t="s">
        <v>377</v>
      </c>
      <c r="E207" s="216"/>
      <c r="G207" s="214" t="str">
        <f>Table18[[#This Row],[KATEGORI]]</f>
        <v>BUKU</v>
      </c>
      <c r="H207" s="214" t="str">
        <f>Table18[[#This Row],[TYPE]]</f>
        <v>CONSIGNMENT</v>
      </c>
      <c r="I207" s="215">
        <f>Table18[[#This Row],[ITEM CODE]]</f>
        <v>988100366</v>
      </c>
      <c r="J207" s="215" t="str">
        <f>Table18[[#This Row],[ITEM NAME]]</f>
        <v>Phonics Reader for Preschoolers 1</v>
      </c>
      <c r="K207" s="217"/>
    </row>
    <row r="208" spans="1:11" s="219" customFormat="1">
      <c r="A208" s="214" t="s">
        <v>309</v>
      </c>
      <c r="B208" s="218" t="s">
        <v>41</v>
      </c>
      <c r="C208" s="215">
        <v>988100368</v>
      </c>
      <c r="D208" s="215" t="s">
        <v>378</v>
      </c>
      <c r="E208" s="216">
        <v>2</v>
      </c>
      <c r="G208" s="214" t="str">
        <f>Table18[[#This Row],[KATEGORI]]</f>
        <v>BUKU</v>
      </c>
      <c r="H208" s="214" t="str">
        <f>Table18[[#This Row],[TYPE]]</f>
        <v>CONSIGNMENT</v>
      </c>
      <c r="I208" s="215">
        <f>Table18[[#This Row],[ITEM CODE]]</f>
        <v>988100368</v>
      </c>
      <c r="J208" s="215" t="str">
        <f>Table18[[#This Row],[ITEM NAME]]</f>
        <v>My Phonics Readers - Pat Cat and Tat Rat (new)</v>
      </c>
      <c r="K208" s="217"/>
    </row>
    <row r="209" spans="1:11" s="219" customFormat="1">
      <c r="A209" s="214" t="s">
        <v>309</v>
      </c>
      <c r="B209" s="218" t="s">
        <v>41</v>
      </c>
      <c r="C209" s="215">
        <v>988100369</v>
      </c>
      <c r="D209" s="215" t="s">
        <v>379</v>
      </c>
      <c r="E209" s="216">
        <v>2</v>
      </c>
      <c r="G209" s="214" t="str">
        <f>Table18[[#This Row],[KATEGORI]]</f>
        <v>BUKU</v>
      </c>
      <c r="H209" s="214" t="str">
        <f>Table18[[#This Row],[TYPE]]</f>
        <v>CONSIGNMENT</v>
      </c>
      <c r="I209" s="215">
        <f>Table18[[#This Row],[ITEM CODE]]</f>
        <v>988100369</v>
      </c>
      <c r="J209" s="215" t="str">
        <f>Table18[[#This Row],[ITEM NAME]]</f>
        <v>My Phonics Readers - Zag's Pet (new)</v>
      </c>
      <c r="K209" s="217"/>
    </row>
    <row r="210" spans="1:11" s="219" customFormat="1">
      <c r="A210" s="214" t="s">
        <v>309</v>
      </c>
      <c r="B210" s="218" t="s">
        <v>41</v>
      </c>
      <c r="C210" s="215">
        <v>988100370</v>
      </c>
      <c r="D210" s="215" t="s">
        <v>527</v>
      </c>
      <c r="E210" s="216">
        <v>3</v>
      </c>
      <c r="G210" s="214" t="str">
        <f>Table18[[#This Row],[KATEGORI]]</f>
        <v>BUKU</v>
      </c>
      <c r="H210" s="214" t="str">
        <f>Table18[[#This Row],[TYPE]]</f>
        <v>CONSIGNMENT</v>
      </c>
      <c r="I210" s="215">
        <f>Table18[[#This Row],[ITEM CODE]]</f>
        <v>988100370</v>
      </c>
      <c r="J210" s="215" t="str">
        <f>Table18[[#This Row],[ITEM NAME]]</f>
        <v>My Phonics Readers - Rin Gets Meg's Pin (new)</v>
      </c>
      <c r="K210" s="217"/>
    </row>
    <row r="211" spans="1:11" s="219" customFormat="1">
      <c r="A211" s="214" t="s">
        <v>309</v>
      </c>
      <c r="B211" s="218" t="s">
        <v>41</v>
      </c>
      <c r="C211" s="215">
        <v>988100371</v>
      </c>
      <c r="D211" s="215" t="s">
        <v>381</v>
      </c>
      <c r="E211" s="216">
        <v>2</v>
      </c>
      <c r="G211" s="214" t="str">
        <f>Table18[[#This Row],[KATEGORI]]</f>
        <v>BUKU</v>
      </c>
      <c r="H211" s="214" t="str">
        <f>Table18[[#This Row],[TYPE]]</f>
        <v>CONSIGNMENT</v>
      </c>
      <c r="I211" s="215">
        <f>Table18[[#This Row],[ITEM CODE]]</f>
        <v>988100371</v>
      </c>
      <c r="J211" s="215" t="str">
        <f>Table18[[#This Row],[ITEM NAME]]</f>
        <v>My Phonics Readers - Dot the Cub (new)</v>
      </c>
      <c r="K211" s="217"/>
    </row>
    <row r="212" spans="1:11" s="219" customFormat="1">
      <c r="A212" s="214" t="s">
        <v>309</v>
      </c>
      <c r="B212" s="218" t="s">
        <v>41</v>
      </c>
      <c r="C212" s="215">
        <v>988100372</v>
      </c>
      <c r="D212" s="215" t="s">
        <v>382</v>
      </c>
      <c r="E212" s="216">
        <v>3</v>
      </c>
      <c r="G212" s="214" t="str">
        <f>Table18[[#This Row],[KATEGORI]]</f>
        <v>BUKU</v>
      </c>
      <c r="H212" s="214" t="str">
        <f>Table18[[#This Row],[TYPE]]</f>
        <v>CONSIGNMENT</v>
      </c>
      <c r="I212" s="215">
        <f>Table18[[#This Row],[ITEM CODE]]</f>
        <v>988100372</v>
      </c>
      <c r="J212" s="215" t="str">
        <f>Table18[[#This Row],[ITEM NAME]]</f>
        <v xml:space="preserve">My Phonics Readers - Greg And Fran (new)      </v>
      </c>
      <c r="K212" s="217"/>
    </row>
    <row r="213" spans="1:11" s="219" customFormat="1">
      <c r="A213" s="214" t="s">
        <v>309</v>
      </c>
      <c r="B213" s="218" t="s">
        <v>41</v>
      </c>
      <c r="C213" s="215">
        <v>988100373</v>
      </c>
      <c r="D213" s="215" t="s">
        <v>383</v>
      </c>
      <c r="E213" s="216">
        <v>3</v>
      </c>
      <c r="G213" s="214" t="str">
        <f>Table18[[#This Row],[KATEGORI]]</f>
        <v>BUKU</v>
      </c>
      <c r="H213" s="214" t="str">
        <f>Table18[[#This Row],[TYPE]]</f>
        <v>CONSIGNMENT</v>
      </c>
      <c r="I213" s="215">
        <f>Table18[[#This Row],[ITEM CODE]]</f>
        <v>988100373</v>
      </c>
      <c r="J213" s="215" t="str">
        <f>Table18[[#This Row],[ITEM NAME]]</f>
        <v>My Phonics Readers - Stan the Stag (new)</v>
      </c>
      <c r="K213" s="217"/>
    </row>
    <row r="214" spans="1:11" s="219" customFormat="1" hidden="1">
      <c r="A214" s="214" t="s">
        <v>309</v>
      </c>
      <c r="B214" s="218" t="s">
        <v>41</v>
      </c>
      <c r="C214" s="215">
        <v>988100374</v>
      </c>
      <c r="D214" s="215" t="s">
        <v>384</v>
      </c>
      <c r="E214" s="216"/>
      <c r="G214" s="214" t="str">
        <f>Table18[[#This Row],[KATEGORI]]</f>
        <v>BUKU</v>
      </c>
      <c r="H214" s="214" t="str">
        <f>Table18[[#This Row],[TYPE]]</f>
        <v>CONSIGNMENT</v>
      </c>
      <c r="I214" s="215">
        <f>Table18[[#This Row],[ITEM CODE]]</f>
        <v>988100374</v>
      </c>
      <c r="J214" s="215" t="str">
        <f>Table18[[#This Row],[ITEM NAME]]</f>
        <v>My Phonics Readers - Dan the Ant  (new)</v>
      </c>
      <c r="K214" s="217"/>
    </row>
    <row r="215" spans="1:11" s="219" customFormat="1">
      <c r="A215" s="214" t="s">
        <v>309</v>
      </c>
      <c r="B215" s="218" t="s">
        <v>41</v>
      </c>
      <c r="C215" s="215">
        <v>988100375</v>
      </c>
      <c r="D215" s="215" t="s">
        <v>385</v>
      </c>
      <c r="E215" s="216">
        <v>3</v>
      </c>
      <c r="G215" s="214" t="str">
        <f>Table18[[#This Row],[KATEGORI]]</f>
        <v>BUKU</v>
      </c>
      <c r="H215" s="214" t="str">
        <f>Table18[[#This Row],[TYPE]]</f>
        <v>CONSIGNMENT</v>
      </c>
      <c r="I215" s="215">
        <f>Table18[[#This Row],[ITEM CODE]]</f>
        <v>988100375</v>
      </c>
      <c r="J215" s="215" t="str">
        <f>Table18[[#This Row],[ITEM NAME]]</f>
        <v>My Phonics Readers - The King's Ring (new)</v>
      </c>
      <c r="K215" s="217"/>
    </row>
    <row r="216" spans="1:11" s="219" customFormat="1">
      <c r="A216" s="214" t="s">
        <v>309</v>
      </c>
      <c r="B216" s="218" t="s">
        <v>41</v>
      </c>
      <c r="C216" s="215">
        <v>988100376</v>
      </c>
      <c r="D216" s="215" t="s">
        <v>386</v>
      </c>
      <c r="E216" s="216">
        <v>3</v>
      </c>
      <c r="G216" s="214" t="str">
        <f>Table18[[#This Row],[KATEGORI]]</f>
        <v>BUKU</v>
      </c>
      <c r="H216" s="214" t="str">
        <f>Table18[[#This Row],[TYPE]]</f>
        <v>CONSIGNMENT</v>
      </c>
      <c r="I216" s="215">
        <f>Table18[[#This Row],[ITEM CODE]]</f>
        <v>988100376</v>
      </c>
      <c r="J216" s="215" t="str">
        <f>Table18[[#This Row],[ITEM NAME]]</f>
        <v>My Phonics Readers - The Lost Sheep (new)</v>
      </c>
      <c r="K216" s="217"/>
    </row>
    <row r="217" spans="1:11" s="219" customFormat="1">
      <c r="A217" s="214" t="s">
        <v>309</v>
      </c>
      <c r="B217" s="218" t="s">
        <v>41</v>
      </c>
      <c r="C217" s="215">
        <v>988100377</v>
      </c>
      <c r="D217" s="215" t="s">
        <v>387</v>
      </c>
      <c r="E217" s="216">
        <v>1</v>
      </c>
      <c r="G217" s="214" t="str">
        <f>Table18[[#This Row],[KATEGORI]]</f>
        <v>BUKU</v>
      </c>
      <c r="H217" s="214" t="str">
        <f>Table18[[#This Row],[TYPE]]</f>
        <v>CONSIGNMENT</v>
      </c>
      <c r="I217" s="215">
        <f>Table18[[#This Row],[ITEM CODE]]</f>
        <v>988100377</v>
      </c>
      <c r="J217" s="215" t="str">
        <f>Table18[[#This Row],[ITEM NAME]]</f>
        <v>My Phonics Readers - Fun at The Mall (new)</v>
      </c>
      <c r="K217" s="217"/>
    </row>
    <row r="218" spans="1:11" s="219" customFormat="1">
      <c r="A218" s="214" t="s">
        <v>309</v>
      </c>
      <c r="B218" s="218" t="s">
        <v>41</v>
      </c>
      <c r="C218" s="215">
        <v>988100378</v>
      </c>
      <c r="D218" s="215" t="s">
        <v>388</v>
      </c>
      <c r="E218" s="216">
        <v>1</v>
      </c>
      <c r="G218" s="214" t="str">
        <f>Table18[[#This Row],[KATEGORI]]</f>
        <v>BUKU</v>
      </c>
      <c r="H218" s="214" t="str">
        <f>Table18[[#This Row],[TYPE]]</f>
        <v>CONSIGNMENT</v>
      </c>
      <c r="I218" s="215">
        <f>Table18[[#This Row],[ITEM CODE]]</f>
        <v>988100378</v>
      </c>
      <c r="J218" s="215" t="str">
        <f>Table18[[#This Row],[ITEM NAME]]</f>
        <v>My Phonics Readers - Roy is going To Town (new)</v>
      </c>
      <c r="K218" s="217"/>
    </row>
    <row r="219" spans="1:11" s="219" customFormat="1">
      <c r="A219" s="214" t="s">
        <v>309</v>
      </c>
      <c r="B219" s="218" t="s">
        <v>41</v>
      </c>
      <c r="C219" s="215">
        <v>988100379</v>
      </c>
      <c r="D219" s="215" t="s">
        <v>389</v>
      </c>
      <c r="E219" s="216">
        <v>3</v>
      </c>
      <c r="G219" s="214" t="str">
        <f>Table18[[#This Row],[KATEGORI]]</f>
        <v>BUKU</v>
      </c>
      <c r="H219" s="214" t="str">
        <f>Table18[[#This Row],[TYPE]]</f>
        <v>CONSIGNMENT</v>
      </c>
      <c r="I219" s="215">
        <f>Table18[[#This Row],[ITEM CODE]]</f>
        <v>988100379</v>
      </c>
      <c r="J219" s="215" t="str">
        <f>Table18[[#This Row],[ITEM NAME]]</f>
        <v>My Phonics Readers - Kate's Cake (new)</v>
      </c>
      <c r="K219" s="217"/>
    </row>
    <row r="220" spans="1:11" s="219" customFormat="1" hidden="1">
      <c r="A220" s="214" t="s">
        <v>309</v>
      </c>
      <c r="B220" s="218" t="s">
        <v>41</v>
      </c>
      <c r="C220" s="215">
        <v>988100380</v>
      </c>
      <c r="D220" s="215" t="s">
        <v>390</v>
      </c>
      <c r="E220" s="216"/>
      <c r="G220" s="214" t="str">
        <f>Table18[[#This Row],[KATEGORI]]</f>
        <v>BUKU</v>
      </c>
      <c r="H220" s="214" t="str">
        <f>Table18[[#This Row],[TYPE]]</f>
        <v>CONSIGNMENT</v>
      </c>
      <c r="I220" s="215">
        <f>Table18[[#This Row],[ITEM CODE]]</f>
        <v>988100380</v>
      </c>
      <c r="J220" s="215" t="str">
        <f>Table18[[#This Row],[ITEM NAME]]</f>
        <v xml:space="preserve">STAR READERS Level 1 - Jim and Lily                       </v>
      </c>
      <c r="K220" s="217"/>
    </row>
    <row r="221" spans="1:11" s="219" customFormat="1">
      <c r="A221" s="214" t="s">
        <v>309</v>
      </c>
      <c r="B221" s="218" t="s">
        <v>41</v>
      </c>
      <c r="C221" s="215">
        <v>988100381</v>
      </c>
      <c r="D221" s="215" t="s">
        <v>391</v>
      </c>
      <c r="E221" s="216">
        <v>1</v>
      </c>
      <c r="G221" s="214" t="str">
        <f>Table18[[#This Row],[KATEGORI]]</f>
        <v>BUKU</v>
      </c>
      <c r="H221" s="214" t="str">
        <f>Table18[[#This Row],[TYPE]]</f>
        <v>CONSIGNMENT</v>
      </c>
      <c r="I221" s="215">
        <f>Table18[[#This Row],[ITEM CODE]]</f>
        <v>988100381</v>
      </c>
      <c r="J221" s="215" t="str">
        <f>Table18[[#This Row],[ITEM NAME]]</f>
        <v xml:space="preserve">STAR READERS Level 1 - Let Us Take a Walk                        </v>
      </c>
      <c r="K221" s="217"/>
    </row>
    <row r="222" spans="1:11" s="219" customFormat="1">
      <c r="A222" s="214" t="s">
        <v>309</v>
      </c>
      <c r="B222" s="218" t="s">
        <v>41</v>
      </c>
      <c r="C222" s="215">
        <v>988100382</v>
      </c>
      <c r="D222" s="215" t="s">
        <v>392</v>
      </c>
      <c r="E222" s="216">
        <v>1</v>
      </c>
      <c r="G222" s="214" t="str">
        <f>Table18[[#This Row],[KATEGORI]]</f>
        <v>BUKU</v>
      </c>
      <c r="H222" s="214" t="str">
        <f>Table18[[#This Row],[TYPE]]</f>
        <v>CONSIGNMENT</v>
      </c>
      <c r="I222" s="215">
        <f>Table18[[#This Row],[ITEM CODE]]</f>
        <v>988100382</v>
      </c>
      <c r="J222" s="215" t="str">
        <f>Table18[[#This Row],[ITEM NAME]]</f>
        <v xml:space="preserve">STAR READERS Level 1 - Baby Bobby                </v>
      </c>
      <c r="K222" s="217"/>
    </row>
    <row r="223" spans="1:11" s="219" customFormat="1">
      <c r="A223" s="214" t="s">
        <v>309</v>
      </c>
      <c r="B223" s="218" t="s">
        <v>41</v>
      </c>
      <c r="C223" s="215">
        <v>988100383</v>
      </c>
      <c r="D223" s="215" t="s">
        <v>393</v>
      </c>
      <c r="E223" s="216">
        <v>2</v>
      </c>
      <c r="G223" s="214" t="str">
        <f>Table18[[#This Row],[KATEGORI]]</f>
        <v>BUKU</v>
      </c>
      <c r="H223" s="214" t="str">
        <f>Table18[[#This Row],[TYPE]]</f>
        <v>CONSIGNMENT</v>
      </c>
      <c r="I223" s="215">
        <f>Table18[[#This Row],[ITEM CODE]]</f>
        <v>988100383</v>
      </c>
      <c r="J223" s="215" t="str">
        <f>Table18[[#This Row],[ITEM NAME]]</f>
        <v xml:space="preserve">STAR READERS Level 1 - Look, A Frog !          </v>
      </c>
      <c r="K223" s="217"/>
    </row>
    <row r="224" spans="1:11" s="219" customFormat="1">
      <c r="A224" s="214" t="s">
        <v>309</v>
      </c>
      <c r="B224" s="218" t="s">
        <v>41</v>
      </c>
      <c r="C224" s="215">
        <v>988100384</v>
      </c>
      <c r="D224" s="215" t="s">
        <v>394</v>
      </c>
      <c r="E224" s="216">
        <v>1</v>
      </c>
      <c r="G224" s="214" t="str">
        <f>Table18[[#This Row],[KATEGORI]]</f>
        <v>BUKU</v>
      </c>
      <c r="H224" s="214" t="str">
        <f>Table18[[#This Row],[TYPE]]</f>
        <v>CONSIGNMENT</v>
      </c>
      <c r="I224" s="215">
        <f>Table18[[#This Row],[ITEM CODE]]</f>
        <v>988100384</v>
      </c>
      <c r="J224" s="215" t="str">
        <f>Table18[[#This Row],[ITEM NAME]]</f>
        <v xml:space="preserve">STAR READERS Level 1 - Fun at School           </v>
      </c>
      <c r="K224" s="217"/>
    </row>
    <row r="225" spans="1:11" s="219" customFormat="1">
      <c r="A225" s="214" t="s">
        <v>309</v>
      </c>
      <c r="B225" s="218" t="s">
        <v>41</v>
      </c>
      <c r="C225" s="215">
        <v>988100385</v>
      </c>
      <c r="D225" s="215" t="s">
        <v>395</v>
      </c>
      <c r="E225" s="216">
        <v>2</v>
      </c>
      <c r="G225" s="214" t="str">
        <f>Table18[[#This Row],[KATEGORI]]</f>
        <v>BUKU</v>
      </c>
      <c r="H225" s="214" t="str">
        <f>Table18[[#This Row],[TYPE]]</f>
        <v>CONSIGNMENT</v>
      </c>
      <c r="I225" s="215">
        <f>Table18[[#This Row],[ITEM CODE]]</f>
        <v>988100385</v>
      </c>
      <c r="J225" s="215" t="str">
        <f>Table18[[#This Row],[ITEM NAME]]</f>
        <v xml:space="preserve">STAR READERS Level 1 - Uncle Sam is Coming              </v>
      </c>
      <c r="K225" s="217"/>
    </row>
    <row r="226" spans="1:11" s="219" customFormat="1">
      <c r="A226" s="214" t="s">
        <v>309</v>
      </c>
      <c r="B226" s="218" t="s">
        <v>41</v>
      </c>
      <c r="C226" s="215">
        <v>988100386</v>
      </c>
      <c r="D226" s="215" t="s">
        <v>396</v>
      </c>
      <c r="E226" s="216">
        <v>1</v>
      </c>
      <c r="G226" s="214" t="str">
        <f>Table18[[#This Row],[KATEGORI]]</f>
        <v>BUKU</v>
      </c>
      <c r="H226" s="214" t="str">
        <f>Table18[[#This Row],[TYPE]]</f>
        <v>CONSIGNMENT</v>
      </c>
      <c r="I226" s="215">
        <f>Table18[[#This Row],[ITEM CODE]]</f>
        <v>988100386</v>
      </c>
      <c r="J226" s="215" t="str">
        <f>Table18[[#This Row],[ITEM NAME]]</f>
        <v xml:space="preserve">HELLO ANIMALS - Busy Little Bess                           </v>
      </c>
      <c r="K226" s="217"/>
    </row>
    <row r="227" spans="1:11" s="219" customFormat="1">
      <c r="A227" s="214" t="s">
        <v>309</v>
      </c>
      <c r="B227" s="218" t="s">
        <v>41</v>
      </c>
      <c r="C227" s="215">
        <v>988100387</v>
      </c>
      <c r="D227" s="215" t="s">
        <v>397</v>
      </c>
      <c r="E227" s="216">
        <v>1</v>
      </c>
      <c r="G227" s="214" t="str">
        <f>Table18[[#This Row],[KATEGORI]]</f>
        <v>BUKU</v>
      </c>
      <c r="H227" s="214" t="str">
        <f>Table18[[#This Row],[TYPE]]</f>
        <v>CONSIGNMENT</v>
      </c>
      <c r="I227" s="215">
        <f>Table18[[#This Row],[ITEM CODE]]</f>
        <v>988100387</v>
      </c>
      <c r="J227" s="215" t="str">
        <f>Table18[[#This Row],[ITEM NAME]]</f>
        <v xml:space="preserve">HELLO ANIMALS - The Happy Baby Elephant                           </v>
      </c>
      <c r="K227" s="217"/>
    </row>
    <row r="228" spans="1:11" s="219" customFormat="1">
      <c r="A228" s="214" t="s">
        <v>309</v>
      </c>
      <c r="B228" s="218" t="s">
        <v>41</v>
      </c>
      <c r="C228" s="215">
        <v>988100388</v>
      </c>
      <c r="D228" s="215" t="s">
        <v>398</v>
      </c>
      <c r="E228" s="216">
        <v>1</v>
      </c>
      <c r="G228" s="214" t="str">
        <f>Table18[[#This Row],[KATEGORI]]</f>
        <v>BUKU</v>
      </c>
      <c r="H228" s="214" t="str">
        <f>Table18[[#This Row],[TYPE]]</f>
        <v>CONSIGNMENT</v>
      </c>
      <c r="I228" s="215">
        <f>Table18[[#This Row],[ITEM CODE]]</f>
        <v>988100388</v>
      </c>
      <c r="J228" s="215" t="str">
        <f>Table18[[#This Row],[ITEM NAME]]</f>
        <v xml:space="preserve">HELLO ANIMALS - Fly, Dragonfly, fly                           </v>
      </c>
      <c r="K228" s="217"/>
    </row>
    <row r="229" spans="1:11" s="219" customFormat="1">
      <c r="A229" s="214" t="s">
        <v>309</v>
      </c>
      <c r="B229" s="218" t="s">
        <v>41</v>
      </c>
      <c r="C229" s="215">
        <v>988100389</v>
      </c>
      <c r="D229" s="215" t="s">
        <v>399</v>
      </c>
      <c r="E229" s="216">
        <v>1</v>
      </c>
      <c r="G229" s="214" t="str">
        <f>Table18[[#This Row],[KATEGORI]]</f>
        <v>BUKU</v>
      </c>
      <c r="H229" s="214" t="str">
        <f>Table18[[#This Row],[TYPE]]</f>
        <v>CONSIGNMENT</v>
      </c>
      <c r="I229" s="215">
        <f>Table18[[#This Row],[ITEM CODE]]</f>
        <v>988100389</v>
      </c>
      <c r="J229" s="215" t="str">
        <f>Table18[[#This Row],[ITEM NAME]]</f>
        <v xml:space="preserve">HELLO ANIMALS - The Hungry Snail                      </v>
      </c>
      <c r="K229" s="217"/>
    </row>
    <row r="230" spans="1:11" s="219" customFormat="1" hidden="1">
      <c r="A230" s="214" t="s">
        <v>309</v>
      </c>
      <c r="B230" s="218" t="s">
        <v>41</v>
      </c>
      <c r="C230" s="215">
        <v>988100390</v>
      </c>
      <c r="D230" s="215" t="s">
        <v>400</v>
      </c>
      <c r="E230" s="216"/>
      <c r="G230" s="214" t="str">
        <f>Table18[[#This Row],[KATEGORI]]</f>
        <v>BUKU</v>
      </c>
      <c r="H230" s="214" t="str">
        <f>Table18[[#This Row],[TYPE]]</f>
        <v>CONSIGNMENT</v>
      </c>
      <c r="I230" s="215">
        <f>Table18[[#This Row],[ITEM CODE]]</f>
        <v>988100390</v>
      </c>
      <c r="J230" s="215" t="str">
        <f>Table18[[#This Row],[ITEM NAME]]</f>
        <v xml:space="preserve">HELLO ANIMALS - The Wiggly Earthworm                      </v>
      </c>
      <c r="K230" s="217"/>
    </row>
    <row r="231" spans="1:11" s="219" customFormat="1">
      <c r="A231" s="214" t="s">
        <v>309</v>
      </c>
      <c r="B231" s="218" t="s">
        <v>41</v>
      </c>
      <c r="C231" s="215">
        <v>988100391</v>
      </c>
      <c r="D231" s="215" t="s">
        <v>401</v>
      </c>
      <c r="E231" s="216">
        <v>3</v>
      </c>
      <c r="G231" s="214" t="str">
        <f>Table18[[#This Row],[KATEGORI]]</f>
        <v>BUKU</v>
      </c>
      <c r="H231" s="214" t="str">
        <f>Table18[[#This Row],[TYPE]]</f>
        <v>CONSIGNMENT</v>
      </c>
      <c r="I231" s="215">
        <f>Table18[[#This Row],[ITEM CODE]]</f>
        <v>988100391</v>
      </c>
      <c r="J231" s="215" t="str">
        <f>Table18[[#This Row],[ITEM NAME]]</f>
        <v xml:space="preserve">HELLO ANIMALS - Little Gecko Loses its tail!              </v>
      </c>
      <c r="K231" s="217"/>
    </row>
    <row r="232" spans="1:11" s="219" customFormat="1">
      <c r="A232" s="214" t="s">
        <v>309</v>
      </c>
      <c r="B232" s="218" t="s">
        <v>41</v>
      </c>
      <c r="C232" s="215">
        <v>988100392</v>
      </c>
      <c r="D232" s="215" t="s">
        <v>402</v>
      </c>
      <c r="E232" s="216">
        <v>1</v>
      </c>
      <c r="G232" s="214" t="str">
        <f>Table18[[#This Row],[KATEGORI]]</f>
        <v>BUKU</v>
      </c>
      <c r="H232" s="214" t="str">
        <f>Table18[[#This Row],[TYPE]]</f>
        <v>CONSIGNMENT</v>
      </c>
      <c r="I232" s="215">
        <f>Table18[[#This Row],[ITEM CODE]]</f>
        <v>988100392</v>
      </c>
      <c r="J232" s="215" t="str">
        <f>Table18[[#This Row],[ITEM NAME]]</f>
        <v xml:space="preserve">HELLO ANIMALS - Croak! I Am a Frog                           </v>
      </c>
      <c r="K232" s="217"/>
    </row>
    <row r="233" spans="1:11" s="219" customFormat="1" hidden="1">
      <c r="A233" s="214" t="s">
        <v>309</v>
      </c>
      <c r="B233" s="218" t="s">
        <v>41</v>
      </c>
      <c r="C233" s="215">
        <v>988100393</v>
      </c>
      <c r="D233" s="215" t="s">
        <v>403</v>
      </c>
      <c r="E233" s="216"/>
      <c r="G233" s="214" t="str">
        <f>Table18[[#This Row],[KATEGORI]]</f>
        <v>BUKU</v>
      </c>
      <c r="H233" s="214" t="str">
        <f>Table18[[#This Row],[TYPE]]</f>
        <v>CONSIGNMENT</v>
      </c>
      <c r="I233" s="215">
        <f>Table18[[#This Row],[ITEM CODE]]</f>
        <v>988100393</v>
      </c>
      <c r="J233" s="215" t="str">
        <f>Table18[[#This Row],[ITEM NAME]]</f>
        <v xml:space="preserve">HELLO ANIMALS - The Beautiful Butterfly                     </v>
      </c>
      <c r="K233" s="217"/>
    </row>
    <row r="234" spans="1:11" s="219" customFormat="1">
      <c r="A234" s="214" t="s">
        <v>309</v>
      </c>
      <c r="B234" s="218" t="s">
        <v>41</v>
      </c>
      <c r="C234" s="215">
        <v>988100394</v>
      </c>
      <c r="D234" s="215" t="s">
        <v>404</v>
      </c>
      <c r="E234" s="216">
        <v>2</v>
      </c>
      <c r="G234" s="214" t="str">
        <f>Table18[[#This Row],[KATEGORI]]</f>
        <v>BUKU</v>
      </c>
      <c r="H234" s="214" t="str">
        <f>Table18[[#This Row],[TYPE]]</f>
        <v>CONSIGNMENT</v>
      </c>
      <c r="I234" s="215">
        <f>Table18[[#This Row],[ITEM CODE]]</f>
        <v>988100394</v>
      </c>
      <c r="J234" s="215" t="str">
        <f>Table18[[#This Row],[ITEM NAME]]</f>
        <v xml:space="preserve">HELLO ANIMALS - Look Out, Little Chicks!                        </v>
      </c>
      <c r="K234" s="217"/>
    </row>
    <row r="235" spans="1:11" s="219" customFormat="1" hidden="1">
      <c r="A235" s="214" t="s">
        <v>309</v>
      </c>
      <c r="B235" s="218" t="s">
        <v>41</v>
      </c>
      <c r="C235" s="215">
        <v>988100395</v>
      </c>
      <c r="D235" s="215" t="s">
        <v>405</v>
      </c>
      <c r="E235" s="216"/>
      <c r="G235" s="214" t="str">
        <f>Table18[[#This Row],[KATEGORI]]</f>
        <v>BUKU</v>
      </c>
      <c r="H235" s="214" t="str">
        <f>Table18[[#This Row],[TYPE]]</f>
        <v>CONSIGNMENT</v>
      </c>
      <c r="I235" s="215">
        <f>Table18[[#This Row],[ITEM CODE]]</f>
        <v>988100395</v>
      </c>
      <c r="J235" s="215" t="str">
        <f>Table18[[#This Row],[ITEM NAME]]</f>
        <v>Let's Guess - Ding-Dong!</v>
      </c>
      <c r="K235" s="217"/>
    </row>
    <row r="236" spans="1:11" s="219" customFormat="1" hidden="1">
      <c r="A236" s="214" t="s">
        <v>309</v>
      </c>
      <c r="B236" s="218" t="s">
        <v>41</v>
      </c>
      <c r="C236" s="215">
        <v>988100396</v>
      </c>
      <c r="D236" s="215" t="s">
        <v>406</v>
      </c>
      <c r="E236" s="216"/>
      <c r="G236" s="214" t="str">
        <f>Table18[[#This Row],[KATEGORI]]</f>
        <v>BUKU</v>
      </c>
      <c r="H236" s="214" t="str">
        <f>Table18[[#This Row],[TYPE]]</f>
        <v>CONSIGNMENT</v>
      </c>
      <c r="I236" s="215">
        <f>Table18[[#This Row],[ITEM CODE]]</f>
        <v>988100396</v>
      </c>
      <c r="J236" s="215" t="str">
        <f>Table18[[#This Row],[ITEM NAME]]</f>
        <v>Let's Guess - Moo!</v>
      </c>
      <c r="K236" s="217"/>
    </row>
    <row r="237" spans="1:11" s="219" customFormat="1" hidden="1">
      <c r="A237" s="214" t="s">
        <v>309</v>
      </c>
      <c r="B237" s="218" t="s">
        <v>41</v>
      </c>
      <c r="C237" s="215">
        <v>988100397</v>
      </c>
      <c r="D237" s="215" t="s">
        <v>407</v>
      </c>
      <c r="E237" s="216"/>
      <c r="G237" s="214" t="str">
        <f>Table18[[#This Row],[KATEGORI]]</f>
        <v>BUKU</v>
      </c>
      <c r="H237" s="214" t="str">
        <f>Table18[[#This Row],[TYPE]]</f>
        <v>CONSIGNMENT</v>
      </c>
      <c r="I237" s="215">
        <f>Table18[[#This Row],[ITEM CODE]]</f>
        <v>988100397</v>
      </c>
      <c r="J237" s="215" t="str">
        <f>Table18[[#This Row],[ITEM NAME]]</f>
        <v>Let's Guess - Vroom!</v>
      </c>
      <c r="K237" s="217"/>
    </row>
    <row r="238" spans="1:11" s="219" customFormat="1" hidden="1">
      <c r="A238" s="214" t="s">
        <v>309</v>
      </c>
      <c r="B238" s="218" t="s">
        <v>41</v>
      </c>
      <c r="C238" s="215">
        <v>988100398</v>
      </c>
      <c r="D238" s="215" t="s">
        <v>408</v>
      </c>
      <c r="E238" s="216"/>
      <c r="G238" s="214" t="str">
        <f>Table18[[#This Row],[KATEGORI]]</f>
        <v>BUKU</v>
      </c>
      <c r="H238" s="214" t="str">
        <f>Table18[[#This Row],[TYPE]]</f>
        <v>CONSIGNMENT</v>
      </c>
      <c r="I238" s="215">
        <f>Table18[[#This Row],[ITEM CODE]]</f>
        <v>988100398</v>
      </c>
      <c r="J238" s="215" t="str">
        <f>Table18[[#This Row],[ITEM NAME]]</f>
        <v xml:space="preserve">Let's Guess - Roar! </v>
      </c>
      <c r="K238" s="217"/>
    </row>
    <row r="239" spans="1:11" s="219" customFormat="1" hidden="1">
      <c r="A239" s="214" t="s">
        <v>309</v>
      </c>
      <c r="B239" s="218" t="s">
        <v>41</v>
      </c>
      <c r="C239" s="215">
        <v>988100399</v>
      </c>
      <c r="D239" s="215" t="s">
        <v>409</v>
      </c>
      <c r="E239" s="216"/>
      <c r="G239" s="214" t="str">
        <f>Table18[[#This Row],[KATEGORI]]</f>
        <v>BUKU</v>
      </c>
      <c r="H239" s="214" t="str">
        <f>Table18[[#This Row],[TYPE]]</f>
        <v>CONSIGNMENT</v>
      </c>
      <c r="I239" s="215">
        <f>Table18[[#This Row],[ITEM CODE]]</f>
        <v>988100399</v>
      </c>
      <c r="J239" s="215" t="str">
        <f>Table18[[#This Row],[ITEM NAME]]</f>
        <v xml:space="preserve">Colour Box - Dinosours                  </v>
      </c>
      <c r="K239" s="217"/>
    </row>
    <row r="240" spans="1:11" s="219" customFormat="1" hidden="1">
      <c r="A240" s="214" t="s">
        <v>309</v>
      </c>
      <c r="B240" s="218" t="s">
        <v>41</v>
      </c>
      <c r="C240" s="215">
        <v>988100400</v>
      </c>
      <c r="D240" s="215" t="s">
        <v>410</v>
      </c>
      <c r="E240" s="216"/>
      <c r="G240" s="214" t="str">
        <f>Table18[[#This Row],[KATEGORI]]</f>
        <v>BUKU</v>
      </c>
      <c r="H240" s="214" t="str">
        <f>Table18[[#This Row],[TYPE]]</f>
        <v>CONSIGNMENT</v>
      </c>
      <c r="I240" s="215">
        <f>Table18[[#This Row],[ITEM CODE]]</f>
        <v>988100400</v>
      </c>
      <c r="J240" s="215" t="str">
        <f>Table18[[#This Row],[ITEM NAME]]</f>
        <v>Colour Box - Things That Move</v>
      </c>
      <c r="K240" s="217"/>
    </row>
    <row r="241" spans="1:11" s="219" customFormat="1">
      <c r="A241" s="214" t="s">
        <v>309</v>
      </c>
      <c r="B241" s="218" t="s">
        <v>41</v>
      </c>
      <c r="C241" s="215">
        <v>988100401</v>
      </c>
      <c r="D241" s="215" t="s">
        <v>411</v>
      </c>
      <c r="E241" s="216">
        <v>1</v>
      </c>
      <c r="G241" s="214" t="str">
        <f>Table18[[#This Row],[KATEGORI]]</f>
        <v>BUKU</v>
      </c>
      <c r="H241" s="214" t="str">
        <f>Table18[[#This Row],[TYPE]]</f>
        <v>CONSIGNMENT</v>
      </c>
      <c r="I241" s="215">
        <f>Table18[[#This Row],[ITEM CODE]]</f>
        <v>988100401</v>
      </c>
      <c r="J241" s="215" t="str">
        <f>Table18[[#This Row],[ITEM NAME]]</f>
        <v xml:space="preserve">Colour Box - Sea Animal                 </v>
      </c>
      <c r="K241" s="217"/>
    </row>
    <row r="242" spans="1:11" s="219" customFormat="1" hidden="1">
      <c r="A242" s="214" t="s">
        <v>309</v>
      </c>
      <c r="B242" s="218" t="s">
        <v>41</v>
      </c>
      <c r="C242" s="215">
        <v>988100402</v>
      </c>
      <c r="D242" s="215" t="s">
        <v>412</v>
      </c>
      <c r="E242" s="216"/>
      <c r="G242" s="214" t="str">
        <f>Table18[[#This Row],[KATEGORI]]</f>
        <v>BUKU</v>
      </c>
      <c r="H242" s="214" t="str">
        <f>Table18[[#This Row],[TYPE]]</f>
        <v>CONSIGNMENT</v>
      </c>
      <c r="I242" s="215">
        <f>Table18[[#This Row],[ITEM CODE]]</f>
        <v>988100402</v>
      </c>
      <c r="J242" s="215" t="str">
        <f>Table18[[#This Row],[ITEM NAME]]</f>
        <v xml:space="preserve">Colour Box - Pets                       </v>
      </c>
      <c r="K242" s="217"/>
    </row>
    <row r="243" spans="1:11" s="219" customFormat="1">
      <c r="A243" s="214" t="s">
        <v>309</v>
      </c>
      <c r="B243" s="218" t="s">
        <v>41</v>
      </c>
      <c r="C243" s="215">
        <v>988100403</v>
      </c>
      <c r="D243" s="215" t="s">
        <v>413</v>
      </c>
      <c r="E243" s="216">
        <v>2</v>
      </c>
      <c r="G243" s="214" t="str">
        <f>Table18[[#This Row],[KATEGORI]]</f>
        <v>BUKU</v>
      </c>
      <c r="H243" s="214" t="str">
        <f>Table18[[#This Row],[TYPE]]</f>
        <v>CONSIGNMENT</v>
      </c>
      <c r="I243" s="215">
        <f>Table18[[#This Row],[ITEM CODE]]</f>
        <v>988100403</v>
      </c>
      <c r="J243" s="215" t="str">
        <f>Table18[[#This Row],[ITEM NAME]]</f>
        <v>Colour Box - Insects</v>
      </c>
      <c r="K243" s="217"/>
    </row>
    <row r="244" spans="1:11" s="219" customFormat="1">
      <c r="A244" s="214" t="s">
        <v>309</v>
      </c>
      <c r="B244" s="218" t="s">
        <v>41</v>
      </c>
      <c r="C244" s="215">
        <v>988100404</v>
      </c>
      <c r="D244" s="215" t="s">
        <v>414</v>
      </c>
      <c r="E244" s="216">
        <v>1</v>
      </c>
      <c r="G244" s="214" t="str">
        <f>Table18[[#This Row],[KATEGORI]]</f>
        <v>BUKU</v>
      </c>
      <c r="H244" s="214" t="str">
        <f>Table18[[#This Row],[TYPE]]</f>
        <v>CONSIGNMENT</v>
      </c>
      <c r="I244" s="215">
        <f>Table18[[#This Row],[ITEM CODE]]</f>
        <v>988100404</v>
      </c>
      <c r="J244" s="215" t="str">
        <f>Table18[[#This Row],[ITEM NAME]]</f>
        <v>Colour Box - In Storyland</v>
      </c>
      <c r="K244" s="217"/>
    </row>
    <row r="245" spans="1:11" s="219" customFormat="1" hidden="1">
      <c r="A245" s="214" t="s">
        <v>309</v>
      </c>
      <c r="B245" s="218" t="s">
        <v>41</v>
      </c>
      <c r="C245" s="215">
        <v>988100405</v>
      </c>
      <c r="D245" s="215" t="s">
        <v>415</v>
      </c>
      <c r="E245" s="216"/>
      <c r="G245" s="214" t="str">
        <f>Table18[[#This Row],[KATEGORI]]</f>
        <v>BUKU</v>
      </c>
      <c r="H245" s="214" t="str">
        <f>Table18[[#This Row],[TYPE]]</f>
        <v>CONSIGNMENT</v>
      </c>
      <c r="I245" s="215">
        <f>Table18[[#This Row],[ITEM CODE]]</f>
        <v>988100405</v>
      </c>
      <c r="J245" s="215" t="str">
        <f>Table18[[#This Row],[ITEM NAME]]</f>
        <v xml:space="preserve">Colour Box - Fairies                    </v>
      </c>
      <c r="K245" s="217"/>
    </row>
    <row r="246" spans="1:11" s="219" customFormat="1" hidden="1">
      <c r="A246" s="214" t="s">
        <v>309</v>
      </c>
      <c r="B246" s="218" t="s">
        <v>41</v>
      </c>
      <c r="C246" s="215">
        <v>988100406</v>
      </c>
      <c r="D246" s="215" t="s">
        <v>416</v>
      </c>
      <c r="E246" s="216"/>
      <c r="G246" s="214" t="str">
        <f>Table18[[#This Row],[KATEGORI]]</f>
        <v>BUKU</v>
      </c>
      <c r="H246" s="214" t="str">
        <f>Table18[[#This Row],[TYPE]]</f>
        <v>CONSIGNMENT</v>
      </c>
      <c r="I246" s="215">
        <f>Table18[[#This Row],[ITEM CODE]]</f>
        <v>988100406</v>
      </c>
      <c r="J246" s="215" t="str">
        <f>Table18[[#This Row],[ITEM NAME]]</f>
        <v>Colour Box - Farm Animals</v>
      </c>
      <c r="K246" s="217"/>
    </row>
    <row r="247" spans="1:11" s="219" customFormat="1" hidden="1">
      <c r="A247" s="214" t="s">
        <v>309</v>
      </c>
      <c r="B247" s="218" t="s">
        <v>41</v>
      </c>
      <c r="C247" s="215">
        <v>988100407</v>
      </c>
      <c r="D247" s="215" t="s">
        <v>417</v>
      </c>
      <c r="E247" s="216"/>
      <c r="G247" s="214" t="str">
        <f>Table18[[#This Row],[KATEGORI]]</f>
        <v>BUKU</v>
      </c>
      <c r="H247" s="214" t="str">
        <f>Table18[[#This Row],[TYPE]]</f>
        <v>CONSIGNMENT</v>
      </c>
      <c r="I247" s="215">
        <f>Table18[[#This Row],[ITEM CODE]]</f>
        <v>988100407</v>
      </c>
      <c r="J247" s="215" t="str">
        <f>Table18[[#This Row],[ITEM NAME]]</f>
        <v>Colour Box - Prehistoric Animals</v>
      </c>
      <c r="K247" s="217"/>
    </row>
    <row r="248" spans="1:11" s="219" customFormat="1" hidden="1">
      <c r="A248" s="214" t="s">
        <v>309</v>
      </c>
      <c r="B248" s="218" t="s">
        <v>41</v>
      </c>
      <c r="C248" s="215">
        <v>988100408</v>
      </c>
      <c r="D248" s="215" t="s">
        <v>418</v>
      </c>
      <c r="E248" s="216"/>
      <c r="G248" s="214" t="str">
        <f>Table18[[#This Row],[KATEGORI]]</f>
        <v>BUKU</v>
      </c>
      <c r="H248" s="214" t="str">
        <f>Table18[[#This Row],[TYPE]]</f>
        <v>CONSIGNMENT</v>
      </c>
      <c r="I248" s="215">
        <f>Table18[[#This Row],[ITEM CODE]]</f>
        <v>988100408</v>
      </c>
      <c r="J248" s="215" t="str">
        <f>Table18[[#This Row],[ITEM NAME]]</f>
        <v>Colour Box - Animal In Danger</v>
      </c>
      <c r="K248" s="217"/>
    </row>
    <row r="249" spans="1:11" s="219" customFormat="1" hidden="1">
      <c r="A249" s="214" t="s">
        <v>309</v>
      </c>
      <c r="B249" s="218" t="s">
        <v>41</v>
      </c>
      <c r="C249" s="215">
        <v>988100409</v>
      </c>
      <c r="D249" s="215" t="s">
        <v>419</v>
      </c>
      <c r="E249" s="216"/>
      <c r="G249" s="214" t="str">
        <f>Table18[[#This Row],[KATEGORI]]</f>
        <v>BUKU</v>
      </c>
      <c r="H249" s="214" t="str">
        <f>Table18[[#This Row],[TYPE]]</f>
        <v>CONSIGNMENT</v>
      </c>
      <c r="I249" s="215">
        <f>Table18[[#This Row],[ITEM CODE]]</f>
        <v>988100409</v>
      </c>
      <c r="J249" s="215" t="str">
        <f>Table18[[#This Row],[ITEM NAME]]</f>
        <v>'Colour Box - Zoo Animals</v>
      </c>
      <c r="K249" s="217"/>
    </row>
    <row r="250" spans="1:11" s="219" customFormat="1" hidden="1">
      <c r="A250" s="214" t="s">
        <v>309</v>
      </c>
      <c r="B250" s="218" t="s">
        <v>41</v>
      </c>
      <c r="C250" s="215">
        <v>988100410</v>
      </c>
      <c r="D250" s="215" t="s">
        <v>420</v>
      </c>
      <c r="E250" s="216"/>
      <c r="G250" s="214" t="str">
        <f>Table18[[#This Row],[KATEGORI]]</f>
        <v>BUKU</v>
      </c>
      <c r="H250" s="214" t="str">
        <f>Table18[[#This Row],[TYPE]]</f>
        <v>CONSIGNMENT</v>
      </c>
      <c r="I250" s="215">
        <f>Table18[[#This Row],[ITEM CODE]]</f>
        <v>988100410</v>
      </c>
      <c r="J250" s="215" t="str">
        <f>Table18[[#This Row],[ITEM NAME]]</f>
        <v>Colour Box - Animal That Are Active At Night</v>
      </c>
      <c r="K250" s="217"/>
    </row>
    <row r="251" spans="1:11" s="219" customFormat="1" hidden="1">
      <c r="A251" s="218" t="s">
        <v>124</v>
      </c>
      <c r="B251" s="218" t="s">
        <v>7</v>
      </c>
      <c r="C251" s="215">
        <v>988100425</v>
      </c>
      <c r="D251" s="215" t="s">
        <v>431</v>
      </c>
      <c r="E251" s="216"/>
      <c r="G251" s="214" t="str">
        <f>Table18[[#This Row],[KATEGORI]]</f>
        <v>PERSONAL CARE</v>
      </c>
      <c r="H251" s="214" t="str">
        <f>Table18[[#This Row],[TYPE]]</f>
        <v>RETAIL</v>
      </c>
      <c r="I251" s="215">
        <f>Table18[[#This Row],[ITEM CODE]]</f>
        <v>988100425</v>
      </c>
      <c r="J251" s="215" t="str">
        <f>Table18[[#This Row],[ITEM NAME]]</f>
        <v>SOFTIES MASKER 3 PLY 5S</v>
      </c>
      <c r="K251" s="217"/>
    </row>
    <row r="252" spans="1:11" s="219" customFormat="1">
      <c r="A252" s="218" t="s">
        <v>89</v>
      </c>
      <c r="B252" s="218" t="s">
        <v>7</v>
      </c>
      <c r="C252" s="215">
        <v>988100427</v>
      </c>
      <c r="D252" s="215" t="s">
        <v>719</v>
      </c>
      <c r="E252" s="216"/>
      <c r="G252" s="214" t="str">
        <f>Table18[[#This Row],[KATEGORI]]</f>
        <v>ES KRIM</v>
      </c>
      <c r="H252" s="214" t="str">
        <f>Table18[[#This Row],[TYPE]]</f>
        <v>RETAIL</v>
      </c>
      <c r="I252" s="215">
        <f>Table18[[#This Row],[ITEM CODE]]</f>
        <v>988100427</v>
      </c>
      <c r="J252" s="215" t="str">
        <f>Table18[[#This Row],[ITEM NAME]]</f>
        <v>GLC FROSTBITE PARI-PARI CHOCOMINT 60ML</v>
      </c>
      <c r="K252" s="217">
        <v>1</v>
      </c>
    </row>
    <row r="253" spans="1:11" s="219" customFormat="1" hidden="1">
      <c r="A253" s="218" t="s">
        <v>6</v>
      </c>
      <c r="B253" s="218" t="s">
        <v>7</v>
      </c>
      <c r="C253" s="215">
        <v>988100431</v>
      </c>
      <c r="D253" s="215" t="s">
        <v>432</v>
      </c>
      <c r="E253" s="216"/>
      <c r="G253" s="214" t="str">
        <f>Table18[[#This Row],[KATEGORI]]</f>
        <v>MINUMAN</v>
      </c>
      <c r="H253" s="214" t="str">
        <f>Table18[[#This Row],[TYPE]]</f>
        <v>RETAIL</v>
      </c>
      <c r="I253" s="215">
        <f>Table18[[#This Row],[ITEM CODE]]</f>
        <v>988100431</v>
      </c>
      <c r="J253" s="215" t="str">
        <f>Table18[[#This Row],[ITEM NAME]]</f>
        <v>NU OCEANA SEASALT LEMONADE 330ML</v>
      </c>
      <c r="K253" s="217"/>
    </row>
    <row r="254" spans="1:11" s="219" customFormat="1">
      <c r="A254" s="218" t="s">
        <v>89</v>
      </c>
      <c r="B254" s="218" t="s">
        <v>7</v>
      </c>
      <c r="C254" s="215">
        <v>988100426</v>
      </c>
      <c r="D254" s="215" t="s">
        <v>380</v>
      </c>
      <c r="E254" s="216">
        <v>13</v>
      </c>
      <c r="G254" s="214" t="str">
        <f>Table18[[#This Row],[KATEGORI]]</f>
        <v>ES KRIM</v>
      </c>
      <c r="H254" s="214" t="str">
        <f>Table18[[#This Row],[TYPE]]</f>
        <v>RETAIL</v>
      </c>
      <c r="I254" s="215">
        <f>Table18[[#This Row],[ITEM CODE]]</f>
        <v>988100426</v>
      </c>
      <c r="J254" s="215" t="str">
        <f>Table18[[#This Row],[ITEM NAME]]</f>
        <v>GLC HAKU MONAKA MATCHA 180ML</v>
      </c>
      <c r="K254" s="217"/>
    </row>
    <row r="255" spans="1:11" s="219" customFormat="1" hidden="1">
      <c r="A255" s="218" t="s">
        <v>40</v>
      </c>
      <c r="B255" s="218" t="s">
        <v>7</v>
      </c>
      <c r="C255" s="215">
        <v>988100276</v>
      </c>
      <c r="D255" s="215" t="s">
        <v>433</v>
      </c>
      <c r="E255" s="216"/>
      <c r="G255" s="214" t="str">
        <f>Table18[[#This Row],[KATEGORI]]</f>
        <v>ACCS MOBIL</v>
      </c>
      <c r="H255" s="214" t="str">
        <f>Table18[[#This Row],[TYPE]]</f>
        <v>RETAIL</v>
      </c>
      <c r="I255" s="215">
        <f>Table18[[#This Row],[ITEM CODE]]</f>
        <v>988100276</v>
      </c>
      <c r="J255" s="215" t="str">
        <f>Table18[[#This Row],[ITEM NAME]]</f>
        <v>CUBE CR COCOPANDAN</v>
      </c>
      <c r="K255" s="217"/>
    </row>
    <row r="256" spans="1:11" s="219" customFormat="1" hidden="1">
      <c r="A256" s="218" t="s">
        <v>25</v>
      </c>
      <c r="B256" s="218" t="s">
        <v>7</v>
      </c>
      <c r="C256" s="215">
        <v>990140</v>
      </c>
      <c r="D256" s="215" t="s">
        <v>434</v>
      </c>
      <c r="E256" s="216"/>
      <c r="G256" s="214" t="str">
        <f>Table18[[#This Row],[KATEGORI]]</f>
        <v>SNACK</v>
      </c>
      <c r="H256" s="214" t="str">
        <f>Table18[[#This Row],[TYPE]]</f>
        <v>RETAIL</v>
      </c>
      <c r="I256" s="215">
        <f>Table18[[#This Row],[ITEM CODE]]</f>
        <v>990140</v>
      </c>
      <c r="J256" s="215" t="str">
        <f>Table18[[#This Row],[ITEM NAME]]</f>
        <v>TKN BIG ROLL CLASSIC 3,6GR</v>
      </c>
      <c r="K256" s="217"/>
    </row>
    <row r="257" spans="1:11" s="219" customFormat="1" hidden="1">
      <c r="A257" s="218" t="s">
        <v>25</v>
      </c>
      <c r="B257" s="218" t="s">
        <v>7</v>
      </c>
      <c r="C257" s="215">
        <v>990139</v>
      </c>
      <c r="D257" s="215" t="s">
        <v>435</v>
      </c>
      <c r="E257" s="216"/>
      <c r="G257" s="214" t="str">
        <f>Table18[[#This Row],[KATEGORI]]</f>
        <v>SNACK</v>
      </c>
      <c r="H257" s="214" t="str">
        <f>Table18[[#This Row],[TYPE]]</f>
        <v>RETAIL</v>
      </c>
      <c r="I257" s="215">
        <f>Table18[[#This Row],[ITEM CODE]]</f>
        <v>990139</v>
      </c>
      <c r="J257" s="215" t="str">
        <f>Table18[[#This Row],[ITEM NAME]]</f>
        <v>TKN BIG ROLL HOT &amp; SPICY 3,6GR</v>
      </c>
      <c r="K257" s="217"/>
    </row>
    <row r="258" spans="1:11" s="219" customFormat="1" hidden="1">
      <c r="A258" s="218" t="s">
        <v>124</v>
      </c>
      <c r="B258" s="218" t="s">
        <v>41</v>
      </c>
      <c r="C258" s="215">
        <v>988100436</v>
      </c>
      <c r="D258" s="215" t="s">
        <v>436</v>
      </c>
      <c r="E258" s="216"/>
      <c r="G258" s="214" t="str">
        <f>Table18[[#This Row],[KATEGORI]]</f>
        <v>PERSONAL CARE</v>
      </c>
      <c r="H258" s="214" t="str">
        <f>Table18[[#This Row],[TYPE]]</f>
        <v>CONSIGNMENT</v>
      </c>
      <c r="I258" s="215">
        <f>Table18[[#This Row],[ITEM CODE]]</f>
        <v>988100436</v>
      </c>
      <c r="J258" s="215" t="str">
        <f>Table18[[#This Row],[ITEM NAME]]</f>
        <v>HIGEN MULTI PURPOSE DISINFECTANT 250ML</v>
      </c>
      <c r="K258" s="217"/>
    </row>
    <row r="259" spans="1:11" s="219" customFormat="1">
      <c r="A259" s="218" t="s">
        <v>124</v>
      </c>
      <c r="B259" s="218" t="s">
        <v>41</v>
      </c>
      <c r="C259" s="215">
        <v>988100437</v>
      </c>
      <c r="D259" s="215" t="s">
        <v>437</v>
      </c>
      <c r="E259" s="216">
        <v>4</v>
      </c>
      <c r="G259" s="214" t="str">
        <f>Table18[[#This Row],[KATEGORI]]</f>
        <v>PERSONAL CARE</v>
      </c>
      <c r="H259" s="214" t="str">
        <f>Table18[[#This Row],[TYPE]]</f>
        <v>CONSIGNMENT</v>
      </c>
      <c r="I259" s="215">
        <f>Table18[[#This Row],[ITEM CODE]]</f>
        <v>988100437</v>
      </c>
      <c r="J259" s="215" t="str">
        <f>Table18[[#This Row],[ITEM NAME]]</f>
        <v>HIGEN MULTI PURPOSE DISINFECTANT 60ML</v>
      </c>
      <c r="K259" s="217"/>
    </row>
    <row r="260" spans="1:11" s="219" customFormat="1" hidden="1">
      <c r="A260" s="218" t="s">
        <v>25</v>
      </c>
      <c r="B260" s="218" t="s">
        <v>41</v>
      </c>
      <c r="C260" s="215">
        <v>988100438</v>
      </c>
      <c r="D260" s="215" t="s">
        <v>79</v>
      </c>
      <c r="E260" s="216"/>
      <c r="G260" s="214" t="str">
        <f>Table18[[#This Row],[KATEGORI]]</f>
        <v>SNACK</v>
      </c>
      <c r="H260" s="214" t="str">
        <f>Table18[[#This Row],[TYPE]]</f>
        <v>CONSIGNMENT</v>
      </c>
      <c r="I260" s="215">
        <f>Table18[[#This Row],[ITEM CODE]]</f>
        <v>988100438</v>
      </c>
      <c r="J260" s="215" t="str">
        <f>Table18[[#This Row],[ITEM NAME]]</f>
        <v>MORE RICH RAMBAK SIRLUIN 50GR</v>
      </c>
      <c r="K260" s="217"/>
    </row>
    <row r="261" spans="1:11" s="219" customFormat="1" hidden="1">
      <c r="A261" s="218" t="s">
        <v>25</v>
      </c>
      <c r="B261" s="218" t="s">
        <v>41</v>
      </c>
      <c r="C261" s="215">
        <v>988100439</v>
      </c>
      <c r="D261" s="215" t="s">
        <v>80</v>
      </c>
      <c r="E261" s="216"/>
      <c r="G261" s="214" t="str">
        <f>Table18[[#This Row],[KATEGORI]]</f>
        <v>SNACK</v>
      </c>
      <c r="H261" s="214" t="str">
        <f>Table18[[#This Row],[TYPE]]</f>
        <v>CONSIGNMENT</v>
      </c>
      <c r="I261" s="215">
        <f>Table18[[#This Row],[ITEM CODE]]</f>
        <v>988100439</v>
      </c>
      <c r="J261" s="215" t="str">
        <f>Table18[[#This Row],[ITEM NAME]]</f>
        <v>MORE RICH EMPING CARAMEL 150GR</v>
      </c>
      <c r="K261" s="217"/>
    </row>
    <row r="262" spans="1:11" s="219" customFormat="1" hidden="1">
      <c r="A262" s="218" t="s">
        <v>25</v>
      </c>
      <c r="B262" s="218" t="s">
        <v>41</v>
      </c>
      <c r="C262" s="215">
        <v>988100440</v>
      </c>
      <c r="D262" s="215" t="s">
        <v>81</v>
      </c>
      <c r="E262" s="216"/>
      <c r="G262" s="214" t="str">
        <f>Table18[[#This Row],[KATEGORI]]</f>
        <v>SNACK</v>
      </c>
      <c r="H262" s="214" t="str">
        <f>Table18[[#This Row],[TYPE]]</f>
        <v>CONSIGNMENT</v>
      </c>
      <c r="I262" s="215">
        <f>Table18[[#This Row],[ITEM CODE]]</f>
        <v>988100440</v>
      </c>
      <c r="J262" s="215" t="str">
        <f>Table18[[#This Row],[ITEM NAME]]</f>
        <v>MORE RICH SINGKONG BALADO 150GR</v>
      </c>
      <c r="K262" s="217"/>
    </row>
    <row r="263" spans="1:11" s="219" customFormat="1" hidden="1">
      <c r="A263" s="218" t="s">
        <v>25</v>
      </c>
      <c r="B263" s="218" t="s">
        <v>41</v>
      </c>
      <c r="C263" s="215">
        <v>988100441</v>
      </c>
      <c r="D263" s="215" t="s">
        <v>82</v>
      </c>
      <c r="E263" s="216"/>
      <c r="G263" s="214" t="str">
        <f>Table18[[#This Row],[KATEGORI]]</f>
        <v>SNACK</v>
      </c>
      <c r="H263" s="214" t="str">
        <f>Table18[[#This Row],[TYPE]]</f>
        <v>CONSIGNMENT</v>
      </c>
      <c r="I263" s="215">
        <f>Table18[[#This Row],[ITEM CODE]]</f>
        <v>988100441</v>
      </c>
      <c r="J263" s="215" t="str">
        <f>Table18[[#This Row],[ITEM NAME]]</f>
        <v>MORE RICH MELINJO ARUM MANIS 100GR</v>
      </c>
      <c r="K263" s="217"/>
    </row>
    <row r="264" spans="1:11" s="219" customFormat="1" hidden="1">
      <c r="A264" s="218" t="s">
        <v>25</v>
      </c>
      <c r="B264" s="218" t="s">
        <v>41</v>
      </c>
      <c r="C264" s="215">
        <v>988100442</v>
      </c>
      <c r="D264" s="215" t="s">
        <v>83</v>
      </c>
      <c r="E264" s="216"/>
      <c r="G264" s="214" t="str">
        <f>Table18[[#This Row],[KATEGORI]]</f>
        <v>SNACK</v>
      </c>
      <c r="H264" s="214" t="str">
        <f>Table18[[#This Row],[TYPE]]</f>
        <v>CONSIGNMENT</v>
      </c>
      <c r="I264" s="215">
        <f>Table18[[#This Row],[ITEM CODE]]</f>
        <v>988100442</v>
      </c>
      <c r="J264" s="215" t="str">
        <f>Table18[[#This Row],[ITEM NAME]]</f>
        <v>MORE RICH TALAS BALADO 140GR</v>
      </c>
      <c r="K264" s="217"/>
    </row>
    <row r="265" spans="1:11" s="219" customFormat="1" hidden="1">
      <c r="A265" s="218" t="s">
        <v>25</v>
      </c>
      <c r="B265" s="218" t="s">
        <v>41</v>
      </c>
      <c r="C265" s="215">
        <v>988100443</v>
      </c>
      <c r="D265" s="215" t="s">
        <v>84</v>
      </c>
      <c r="E265" s="216"/>
      <c r="G265" s="214" t="str">
        <f>Table18[[#This Row],[KATEGORI]]</f>
        <v>SNACK</v>
      </c>
      <c r="H265" s="214" t="str">
        <f>Table18[[#This Row],[TYPE]]</f>
        <v>CONSIGNMENT</v>
      </c>
      <c r="I265" s="215">
        <f>Table18[[#This Row],[ITEM CODE]]</f>
        <v>988100443</v>
      </c>
      <c r="J265" s="215" t="str">
        <f>Table18[[#This Row],[ITEM NAME]]</f>
        <v>MORE RICH EMPING BALADO 100GR</v>
      </c>
      <c r="K265" s="217"/>
    </row>
    <row r="266" spans="1:11" s="219" customFormat="1" hidden="1">
      <c r="A266" s="218" t="s">
        <v>25</v>
      </c>
      <c r="B266" s="218" t="s">
        <v>7</v>
      </c>
      <c r="C266" s="215">
        <v>200081</v>
      </c>
      <c r="D266" s="215" t="s">
        <v>320</v>
      </c>
      <c r="E266" s="216"/>
      <c r="G266" s="214" t="str">
        <f>Table18[[#This Row],[KATEGORI]]</f>
        <v>SNACK</v>
      </c>
      <c r="H266" s="214" t="str">
        <f>Table18[[#This Row],[TYPE]]</f>
        <v>RETAIL</v>
      </c>
      <c r="I266" s="215">
        <f>Table18[[#This Row],[ITEM CODE]]</f>
        <v>200081</v>
      </c>
      <c r="J266" s="215" t="str">
        <f>Table18[[#This Row],[ITEM NAME]]</f>
        <v>CHEETOS AYAM BAKAR 40GR</v>
      </c>
      <c r="K266" s="217"/>
    </row>
    <row r="267" spans="1:11" s="219" customFormat="1" hidden="1">
      <c r="A267" s="218" t="s">
        <v>25</v>
      </c>
      <c r="B267" s="218" t="s">
        <v>7</v>
      </c>
      <c r="C267" s="215">
        <v>200383</v>
      </c>
      <c r="D267" s="215" t="s">
        <v>630</v>
      </c>
      <c r="E267" s="216"/>
      <c r="G267" s="214" t="str">
        <f>Table18[[#This Row],[KATEGORI]]</f>
        <v>SNACK</v>
      </c>
      <c r="H267" s="214" t="str">
        <f>Table18[[#This Row],[TYPE]]</f>
        <v>RETAIL</v>
      </c>
      <c r="I267" s="215">
        <f>Table18[[#This Row],[ITEM CODE]]</f>
        <v>200383</v>
      </c>
      <c r="J267" s="215" t="str">
        <f>Table18[[#This Row],[ITEM NAME]]</f>
        <v>ROMA BETTER VANILA 25GR</v>
      </c>
      <c r="K267" s="217"/>
    </row>
    <row r="268" spans="1:11" s="219" customFormat="1" hidden="1">
      <c r="A268" s="218" t="s">
        <v>25</v>
      </c>
      <c r="B268" s="218" t="s">
        <v>7</v>
      </c>
      <c r="C268" s="215">
        <v>200371</v>
      </c>
      <c r="D268" s="215" t="s">
        <v>627</v>
      </c>
      <c r="E268" s="216"/>
      <c r="G268" s="214" t="str">
        <f>Table18[[#This Row],[KATEGORI]]</f>
        <v>SNACK</v>
      </c>
      <c r="H268" s="214" t="str">
        <f>Table18[[#This Row],[TYPE]]</f>
        <v>RETAIL</v>
      </c>
      <c r="I268" s="215">
        <f>Table18[[#This Row],[ITEM CODE]]</f>
        <v>200371</v>
      </c>
      <c r="J268" s="215" t="str">
        <f>Table18[[#This Row],[ITEM NAME]]</f>
        <v>BENG-BENG MAX 32GR</v>
      </c>
      <c r="K268" s="217"/>
    </row>
    <row r="269" spans="1:11" s="219" customFormat="1" hidden="1">
      <c r="A269" s="218" t="s">
        <v>25</v>
      </c>
      <c r="B269" s="218" t="s">
        <v>7</v>
      </c>
      <c r="C269" s="215">
        <v>988100452</v>
      </c>
      <c r="D269" s="215" t="s">
        <v>189</v>
      </c>
      <c r="E269" s="216"/>
      <c r="G269" s="214" t="str">
        <f>Table18[[#This Row],[KATEGORI]]</f>
        <v>SNACK</v>
      </c>
      <c r="H269" s="214" t="str">
        <f>Table18[[#This Row],[TYPE]]</f>
        <v>RETAIL</v>
      </c>
      <c r="I269" s="215">
        <f>Table18[[#This Row],[ITEM CODE]]</f>
        <v>988100452</v>
      </c>
      <c r="J269" s="215" t="str">
        <f>Table18[[#This Row],[ITEM NAME]]</f>
        <v xml:space="preserve">ASTOR CHOCOLATE STICK ROLL 40GR </v>
      </c>
      <c r="K269" s="217"/>
    </row>
    <row r="270" spans="1:11" s="219" customFormat="1" hidden="1">
      <c r="A270" s="218" t="s">
        <v>6</v>
      </c>
      <c r="B270" s="218" t="s">
        <v>7</v>
      </c>
      <c r="C270" s="119">
        <v>100122</v>
      </c>
      <c r="D270" s="120" t="s">
        <v>443</v>
      </c>
      <c r="E270" s="216"/>
      <c r="G270" s="214" t="str">
        <f>Table18[[#This Row],[KATEGORI]]</f>
        <v>MINUMAN</v>
      </c>
      <c r="H270" s="214" t="str">
        <f>Table18[[#This Row],[TYPE]]</f>
        <v>RETAIL</v>
      </c>
      <c r="I270" s="215">
        <f>Table18[[#This Row],[ITEM CODE]]</f>
        <v>100122</v>
      </c>
      <c r="J270" s="215" t="str">
        <f>Table18[[#This Row],[ITEM NAME]]</f>
        <v>LE MINERALE 600ML</v>
      </c>
      <c r="K270" s="217"/>
    </row>
    <row r="271" spans="1:11" s="219" customFormat="1">
      <c r="A271" s="218" t="s">
        <v>6</v>
      </c>
      <c r="B271" s="218" t="s">
        <v>7</v>
      </c>
      <c r="C271" s="105">
        <v>100041</v>
      </c>
      <c r="D271" s="106" t="s">
        <v>163</v>
      </c>
      <c r="E271" s="216"/>
      <c r="G271" s="214" t="str">
        <f>Table18[[#This Row],[KATEGORI]]</f>
        <v>MINUMAN</v>
      </c>
      <c r="H271" s="214" t="str">
        <f>Table18[[#This Row],[TYPE]]</f>
        <v>RETAIL</v>
      </c>
      <c r="I271" s="215">
        <f>Table18[[#This Row],[ITEM CODE]]</f>
        <v>100041</v>
      </c>
      <c r="J271" s="215" t="str">
        <f>Table18[[#This Row],[ITEM NAME]]</f>
        <v>TEH PUCUK HARUM 350ML</v>
      </c>
      <c r="K271" s="217">
        <v>7</v>
      </c>
    </row>
    <row r="272" spans="1:11" s="219" customFormat="1">
      <c r="A272" s="218" t="s">
        <v>25</v>
      </c>
      <c r="B272" s="218" t="s">
        <v>7</v>
      </c>
      <c r="C272" s="99">
        <v>988100456</v>
      </c>
      <c r="D272" s="100" t="s">
        <v>26</v>
      </c>
      <c r="E272" s="216">
        <v>32</v>
      </c>
      <c r="G272" s="214" t="str">
        <f>Table18[[#This Row],[KATEGORI]]</f>
        <v>SNACK</v>
      </c>
      <c r="H272" s="214" t="str">
        <f>Table18[[#This Row],[TYPE]]</f>
        <v>RETAIL</v>
      </c>
      <c r="I272" s="215">
        <f>Table18[[#This Row],[ITEM CODE]]</f>
        <v>988100456</v>
      </c>
      <c r="J272" s="215" t="str">
        <f>Table18[[#This Row],[ITEM NAME]]</f>
        <v xml:space="preserve">CHITATO LITE SEAWED 35GR </v>
      </c>
      <c r="K272" s="217"/>
    </row>
    <row r="273" spans="1:11" s="219" customFormat="1" hidden="1">
      <c r="A273" s="218" t="s">
        <v>25</v>
      </c>
      <c r="B273" s="218" t="s">
        <v>7</v>
      </c>
      <c r="C273" s="220">
        <v>988100458</v>
      </c>
      <c r="D273" s="220" t="s">
        <v>445</v>
      </c>
      <c r="E273" s="216"/>
      <c r="G273" s="214" t="str">
        <f>Table18[[#This Row],[KATEGORI]]</f>
        <v>SNACK</v>
      </c>
      <c r="H273" s="214" t="str">
        <f>Table18[[#This Row],[TYPE]]</f>
        <v>RETAIL</v>
      </c>
      <c r="I273" s="215">
        <f>Table18[[#This Row],[ITEM CODE]]</f>
        <v>988100458</v>
      </c>
      <c r="J273" s="215" t="str">
        <f>Table18[[#This Row],[ITEM NAME]]</f>
        <v>CHIKI TWIST JAGUNG BAKAR 40GR</v>
      </c>
      <c r="K273" s="217"/>
    </row>
    <row r="274" spans="1:11" s="219" customFormat="1" hidden="1">
      <c r="A274" s="218" t="s">
        <v>25</v>
      </c>
      <c r="B274" s="218" t="s">
        <v>41</v>
      </c>
      <c r="C274" s="220">
        <v>988100453</v>
      </c>
      <c r="D274" s="221" t="s">
        <v>85</v>
      </c>
      <c r="E274" s="216"/>
      <c r="G274" s="214" t="str">
        <f>Table18[[#This Row],[KATEGORI]]</f>
        <v>SNACK</v>
      </c>
      <c r="H274" s="214" t="str">
        <f>Table18[[#This Row],[TYPE]]</f>
        <v>CONSIGNMENT</v>
      </c>
      <c r="I274" s="215">
        <f>Table18[[#This Row],[ITEM CODE]]</f>
        <v>988100453</v>
      </c>
      <c r="J274" s="215" t="str">
        <f>Table18[[#This Row],[ITEM NAME]]</f>
        <v>MORE RICH COOKIES GULALI</v>
      </c>
      <c r="K274" s="217"/>
    </row>
    <row r="275" spans="1:11" s="219" customFormat="1">
      <c r="A275" s="218" t="s">
        <v>89</v>
      </c>
      <c r="B275" s="218" t="s">
        <v>7</v>
      </c>
      <c r="C275" s="220">
        <v>988100455</v>
      </c>
      <c r="D275" s="221" t="s">
        <v>95</v>
      </c>
      <c r="E275" s="216">
        <v>24</v>
      </c>
      <c r="G275" s="214" t="str">
        <f>Table18[[#This Row],[KATEGORI]]</f>
        <v>ES KRIM</v>
      </c>
      <c r="H275" s="214" t="str">
        <f>Table18[[#This Row],[TYPE]]</f>
        <v>RETAIL</v>
      </c>
      <c r="I275" s="215">
        <f>Table18[[#This Row],[ITEM CODE]]</f>
        <v>988100455</v>
      </c>
      <c r="J275" s="215" t="str">
        <f>Table18[[#This Row],[ITEM NAME]]</f>
        <v>GLC FROSTBITE CHOCONUT  AND CASHEW 65ML</v>
      </c>
      <c r="K275" s="217"/>
    </row>
    <row r="276" spans="1:11" s="219" customFormat="1" hidden="1">
      <c r="A276" s="218" t="s">
        <v>40</v>
      </c>
      <c r="B276" s="218" t="s">
        <v>7</v>
      </c>
      <c r="C276" s="215">
        <v>988100450</v>
      </c>
      <c r="D276" s="222" t="s">
        <v>446</v>
      </c>
      <c r="E276" s="216"/>
      <c r="G276" s="214" t="str">
        <f>Table18[[#This Row],[KATEGORI]]</f>
        <v>ACCS MOBIL</v>
      </c>
      <c r="H276" s="214" t="str">
        <f>Table18[[#This Row],[TYPE]]</f>
        <v>RETAIL</v>
      </c>
      <c r="I276" s="215">
        <f>Table18[[#This Row],[ITEM CODE]]</f>
        <v>988100450</v>
      </c>
      <c r="J276" s="215" t="str">
        <f>Table18[[#This Row],[ITEM NAME]]</f>
        <v>CUBE CR ORANGE</v>
      </c>
      <c r="K276" s="217"/>
    </row>
    <row r="277" spans="1:11" s="219" customFormat="1">
      <c r="A277" s="218" t="s">
        <v>6</v>
      </c>
      <c r="B277" s="218" t="s">
        <v>41</v>
      </c>
      <c r="C277" s="215">
        <v>988100461</v>
      </c>
      <c r="D277" s="222" t="s">
        <v>447</v>
      </c>
      <c r="E277" s="216"/>
      <c r="G277" s="214" t="str">
        <f>Table18[[#This Row],[KATEGORI]]</f>
        <v>MINUMAN</v>
      </c>
      <c r="H277" s="214" t="str">
        <f>Table18[[#This Row],[TYPE]]</f>
        <v>CONSIGNMENT</v>
      </c>
      <c r="I277" s="215">
        <f>Table18[[#This Row],[ITEM CODE]]</f>
        <v>988100461</v>
      </c>
      <c r="J277" s="215" t="str">
        <f>Table18[[#This Row],[ITEM NAME]]</f>
        <v>AOI NANO CLUSTER WATER 500ML</v>
      </c>
      <c r="K277" s="217">
        <v>2</v>
      </c>
    </row>
    <row r="278" spans="1:11" s="219" customFormat="1">
      <c r="A278" s="218" t="s">
        <v>89</v>
      </c>
      <c r="B278" s="218" t="s">
        <v>7</v>
      </c>
      <c r="C278" s="220">
        <v>988100434</v>
      </c>
      <c r="D278" s="221" t="s">
        <v>93</v>
      </c>
      <c r="E278" s="216"/>
      <c r="G278" s="214" t="str">
        <f>Table18[[#This Row],[KATEGORI]]</f>
        <v>ES KRIM</v>
      </c>
      <c r="H278" s="214" t="str">
        <f>Table18[[#This Row],[TYPE]]</f>
        <v>RETAIL</v>
      </c>
      <c r="I278" s="215">
        <f>Table18[[#This Row],[ITEM CODE]]</f>
        <v>988100434</v>
      </c>
      <c r="J278" s="215" t="str">
        <f>Table18[[#This Row],[ITEM NAME]]</f>
        <v>FROSBITE MOCHI COOKIES &amp; CREAM 46ML</v>
      </c>
      <c r="K278" s="217">
        <v>17</v>
      </c>
    </row>
    <row r="279" spans="1:11" s="219" customFormat="1" hidden="1">
      <c r="A279" s="218" t="s">
        <v>6</v>
      </c>
      <c r="B279" s="218" t="s">
        <v>7</v>
      </c>
      <c r="C279" s="223">
        <v>100203</v>
      </c>
      <c r="D279" s="224" t="s">
        <v>848</v>
      </c>
      <c r="E279" s="216"/>
      <c r="G279" s="214" t="str">
        <f>Table18[[#This Row],[KATEGORI]]</f>
        <v>MINUMAN</v>
      </c>
      <c r="H279" s="214" t="str">
        <f>Table18[[#This Row],[TYPE]]</f>
        <v>RETAIL</v>
      </c>
      <c r="I279" s="215">
        <f>Table18[[#This Row],[ITEM CODE]]</f>
        <v>100203</v>
      </c>
      <c r="J279" s="215" t="str">
        <f>Table18[[#This Row],[ITEM NAME]]</f>
        <v>ADES 600 ML</v>
      </c>
      <c r="K279" s="217"/>
    </row>
    <row r="280" spans="1:11" s="219" customFormat="1">
      <c r="A280" s="218" t="s">
        <v>6</v>
      </c>
      <c r="B280" s="218" t="s">
        <v>7</v>
      </c>
      <c r="C280" s="220">
        <v>988100460</v>
      </c>
      <c r="D280" s="220" t="s">
        <v>14</v>
      </c>
      <c r="E280" s="216">
        <v>20</v>
      </c>
      <c r="G280" s="214" t="str">
        <f>Table18[[#This Row],[KATEGORI]]</f>
        <v>MINUMAN</v>
      </c>
      <c r="H280" s="214" t="str">
        <f>Table18[[#This Row],[TYPE]]</f>
        <v>RETAIL</v>
      </c>
      <c r="I280" s="215">
        <f>Table18[[#This Row],[ITEM CODE]]</f>
        <v>988100460</v>
      </c>
      <c r="J280" s="215" t="str">
        <f>Table18[[#This Row],[ITEM NAME]]</f>
        <v>NU GREENTEA YOGURT TEA 450ML</v>
      </c>
      <c r="K280" s="217">
        <v>37</v>
      </c>
    </row>
    <row r="281" spans="1:11" s="219" customFormat="1">
      <c r="A281" s="218" t="s">
        <v>6</v>
      </c>
      <c r="B281" s="218" t="s">
        <v>7</v>
      </c>
      <c r="C281" s="107">
        <v>988100449</v>
      </c>
      <c r="D281" s="108" t="s">
        <v>171</v>
      </c>
      <c r="E281" s="216"/>
      <c r="G281" s="214" t="str">
        <f>Table18[[#This Row],[KATEGORI]]</f>
        <v>MINUMAN</v>
      </c>
      <c r="H281" s="214" t="str">
        <f>Table18[[#This Row],[TYPE]]</f>
        <v>RETAIL</v>
      </c>
      <c r="I281" s="215">
        <f>Table18[[#This Row],[ITEM CODE]]</f>
        <v>988100449</v>
      </c>
      <c r="J281" s="215" t="str">
        <f>Table18[[#This Row],[ITEM NAME]]</f>
        <v>KOPIKO LUCKY DAY 180ML</v>
      </c>
      <c r="K281" s="217">
        <v>22</v>
      </c>
    </row>
    <row r="282" spans="1:11" s="219" customFormat="1">
      <c r="A282" s="218" t="s">
        <v>89</v>
      </c>
      <c r="B282" s="218" t="s">
        <v>7</v>
      </c>
      <c r="C282" s="220">
        <v>988100464</v>
      </c>
      <c r="D282" s="220" t="s">
        <v>94</v>
      </c>
      <c r="E282" s="216">
        <v>24</v>
      </c>
      <c r="G282" s="214" t="str">
        <f>Table18[[#This Row],[KATEGORI]]</f>
        <v>ES KRIM</v>
      </c>
      <c r="H282" s="214" t="str">
        <f>Table18[[#This Row],[TYPE]]</f>
        <v>RETAIL</v>
      </c>
      <c r="I282" s="215">
        <f>Table18[[#This Row],[ITEM CODE]]</f>
        <v>988100464</v>
      </c>
      <c r="J282" s="215" t="str">
        <f>Table18[[#This Row],[ITEM NAME]]</f>
        <v>FROSBITE BOBA MILK TEA 60ML</v>
      </c>
      <c r="K282" s="217">
        <v>2</v>
      </c>
    </row>
    <row r="283" spans="1:11" s="219" customFormat="1" hidden="1">
      <c r="A283" s="218" t="s">
        <v>25</v>
      </c>
      <c r="B283" s="218" t="s">
        <v>41</v>
      </c>
      <c r="C283" s="220">
        <v>988100466</v>
      </c>
      <c r="D283" s="222" t="s">
        <v>87</v>
      </c>
      <c r="E283" s="216"/>
      <c r="G283" s="214" t="str">
        <f>Table18[[#This Row],[KATEGORI]]</f>
        <v>SNACK</v>
      </c>
      <c r="H283" s="214" t="str">
        <f>Table18[[#This Row],[TYPE]]</f>
        <v>CONSIGNMENT</v>
      </c>
      <c r="I283" s="215">
        <f>Table18[[#This Row],[ITEM CODE]]</f>
        <v>988100466</v>
      </c>
      <c r="J283" s="215" t="str">
        <f>Table18[[#This Row],[ITEM NAME]]</f>
        <v>MORE RICH SPRING ROLLS 175GR</v>
      </c>
      <c r="K283" s="217"/>
    </row>
    <row r="284" spans="1:11" s="219" customFormat="1" hidden="1">
      <c r="A284" s="218" t="s">
        <v>25</v>
      </c>
      <c r="B284" s="218" t="s">
        <v>41</v>
      </c>
      <c r="C284" s="220">
        <v>988100467</v>
      </c>
      <c r="D284" s="221" t="s">
        <v>88</v>
      </c>
      <c r="E284" s="216"/>
      <c r="G284" s="214" t="str">
        <f>Table18[[#This Row],[KATEGORI]]</f>
        <v>SNACK</v>
      </c>
      <c r="H284" s="214" t="str">
        <f>Table18[[#This Row],[TYPE]]</f>
        <v>CONSIGNMENT</v>
      </c>
      <c r="I284" s="215">
        <f>Table18[[#This Row],[ITEM CODE]]</f>
        <v>988100467</v>
      </c>
      <c r="J284" s="215" t="str">
        <f>Table18[[#This Row],[ITEM NAME]]</f>
        <v>MORE RICH RAMBAK BALADO 50GR</v>
      </c>
      <c r="K284" s="217"/>
    </row>
    <row r="285" spans="1:11" s="219" customFormat="1">
      <c r="A285" s="218" t="s">
        <v>25</v>
      </c>
      <c r="B285" s="218" t="s">
        <v>41</v>
      </c>
      <c r="C285" s="220">
        <v>988100469</v>
      </c>
      <c r="D285" s="220" t="s">
        <v>153</v>
      </c>
      <c r="E285" s="216">
        <v>10</v>
      </c>
      <c r="G285" s="214" t="str">
        <f>Table18[[#This Row],[KATEGORI]]</f>
        <v>SNACK</v>
      </c>
      <c r="H285" s="214" t="str">
        <f>Table18[[#This Row],[TYPE]]</f>
        <v>CONSIGNMENT</v>
      </c>
      <c r="I285" s="215">
        <f>Table18[[#This Row],[ITEM CODE]]</f>
        <v>988100469</v>
      </c>
      <c r="J285" s="215" t="str">
        <f>Table18[[#This Row],[ITEM NAME]]</f>
        <v xml:space="preserve">PEYEK KACANG </v>
      </c>
      <c r="K285" s="217"/>
    </row>
    <row r="286" spans="1:11" s="219" customFormat="1" hidden="1">
      <c r="A286" s="218" t="s">
        <v>25</v>
      </c>
      <c r="B286" s="218" t="s">
        <v>41</v>
      </c>
      <c r="C286" s="220">
        <v>988100465</v>
      </c>
      <c r="D286" s="221" t="s">
        <v>86</v>
      </c>
      <c r="E286" s="216"/>
      <c r="G286" s="214" t="str">
        <f>Table18[[#This Row],[KATEGORI]]</f>
        <v>SNACK</v>
      </c>
      <c r="H286" s="214" t="str">
        <f>Table18[[#This Row],[TYPE]]</f>
        <v>CONSIGNMENT</v>
      </c>
      <c r="I286" s="215">
        <f>Table18[[#This Row],[ITEM CODE]]</f>
        <v>988100465</v>
      </c>
      <c r="J286" s="215" t="str">
        <f>Table18[[#This Row],[ITEM NAME]]</f>
        <v>MORE RICH BANANA CARAMEL 160GR</v>
      </c>
      <c r="K286" s="217"/>
    </row>
    <row r="287" spans="1:11" s="219" customFormat="1">
      <c r="A287" s="218" t="s">
        <v>40</v>
      </c>
      <c r="B287" s="218" t="s">
        <v>7</v>
      </c>
      <c r="C287" s="225">
        <v>988100484</v>
      </c>
      <c r="D287" s="220" t="s">
        <v>55</v>
      </c>
      <c r="E287" s="216">
        <v>21</v>
      </c>
      <c r="G287" s="214" t="str">
        <f>Table18[[#This Row],[KATEGORI]]</f>
        <v>ACCS MOBIL</v>
      </c>
      <c r="H287" s="214" t="str">
        <f>Table18[[#This Row],[TYPE]]</f>
        <v>RETAIL</v>
      </c>
      <c r="I287" s="215">
        <f>Table18[[#This Row],[ITEM CODE]]</f>
        <v>988100484</v>
      </c>
      <c r="J287" s="215" t="str">
        <f>Table18[[#This Row],[ITEM NAME]]</f>
        <v>CUBE CR NEW CAR</v>
      </c>
      <c r="K287" s="217"/>
    </row>
    <row r="288" spans="1:11" s="219" customFormat="1" hidden="1">
      <c r="A288" s="218" t="s">
        <v>309</v>
      </c>
      <c r="B288" s="218" t="s">
        <v>41</v>
      </c>
      <c r="C288" s="225">
        <v>988100490</v>
      </c>
      <c r="D288" s="164" t="s">
        <v>451</v>
      </c>
      <c r="E288" s="216"/>
      <c r="G288" s="214" t="str">
        <f>Table18[[#This Row],[KATEGORI]]</f>
        <v>BUKU</v>
      </c>
      <c r="H288" s="214" t="str">
        <f>Table18[[#This Row],[TYPE]]</f>
        <v>CONSIGNMENT</v>
      </c>
      <c r="I288" s="215">
        <f>Table18[[#This Row],[ITEM CODE]]</f>
        <v>988100490</v>
      </c>
      <c r="J288" s="215" t="str">
        <f>Table18[[#This Row],[ITEM NAME]]</f>
        <v>Yes I can Read - The Gingerbread Man</v>
      </c>
      <c r="K288" s="217"/>
    </row>
    <row r="289" spans="1:11" s="219" customFormat="1" hidden="1">
      <c r="A289" s="218" t="s">
        <v>309</v>
      </c>
      <c r="B289" s="218" t="s">
        <v>41</v>
      </c>
      <c r="C289" s="225">
        <v>988100491</v>
      </c>
      <c r="D289" s="164" t="s">
        <v>452</v>
      </c>
      <c r="E289" s="216"/>
      <c r="G289" s="214" t="str">
        <f>Table18[[#This Row],[KATEGORI]]</f>
        <v>BUKU</v>
      </c>
      <c r="H289" s="214" t="str">
        <f>Table18[[#This Row],[TYPE]]</f>
        <v>CONSIGNMENT</v>
      </c>
      <c r="I289" s="215">
        <f>Table18[[#This Row],[ITEM CODE]]</f>
        <v>988100491</v>
      </c>
      <c r="J289" s="215" t="str">
        <f>Table18[[#This Row],[ITEM NAME]]</f>
        <v xml:space="preserve">YES! I CAN READ-HENNY PENNY             </v>
      </c>
      <c r="K289" s="217"/>
    </row>
    <row r="290" spans="1:11" s="219" customFormat="1" hidden="1">
      <c r="A290" s="218" t="s">
        <v>309</v>
      </c>
      <c r="B290" s="218" t="s">
        <v>41</v>
      </c>
      <c r="C290" s="225">
        <v>988100492</v>
      </c>
      <c r="D290" s="164" t="s">
        <v>453</v>
      </c>
      <c r="E290" s="216"/>
      <c r="G290" s="214" t="str">
        <f>Table18[[#This Row],[KATEGORI]]</f>
        <v>BUKU</v>
      </c>
      <c r="H290" s="214" t="str">
        <f>Table18[[#This Row],[TYPE]]</f>
        <v>CONSIGNMENT</v>
      </c>
      <c r="I290" s="215">
        <f>Table18[[#This Row],[ITEM CODE]]</f>
        <v>988100492</v>
      </c>
      <c r="J290" s="215" t="str">
        <f>Table18[[#This Row],[ITEM NAME]]</f>
        <v>Yes I can Read - The Shoemaker and the Elves</v>
      </c>
      <c r="K290" s="217"/>
    </row>
    <row r="291" spans="1:11" s="219" customFormat="1" hidden="1">
      <c r="A291" s="218" t="s">
        <v>309</v>
      </c>
      <c r="B291" s="218" t="s">
        <v>41</v>
      </c>
      <c r="C291" s="225">
        <v>988100493</v>
      </c>
      <c r="D291" s="164" t="s">
        <v>454</v>
      </c>
      <c r="E291" s="216"/>
      <c r="G291" s="214" t="str">
        <f>Table18[[#This Row],[KATEGORI]]</f>
        <v>BUKU</v>
      </c>
      <c r="H291" s="214" t="str">
        <f>Table18[[#This Row],[TYPE]]</f>
        <v>CONSIGNMENT</v>
      </c>
      <c r="I291" s="215">
        <f>Table18[[#This Row],[ITEM CODE]]</f>
        <v>988100493</v>
      </c>
      <c r="J291" s="215" t="str">
        <f>Table18[[#This Row],[ITEM NAME]]</f>
        <v>Yes I can Read - The Boy and the Wolf</v>
      </c>
      <c r="K291" s="217"/>
    </row>
    <row r="292" spans="1:11" s="219" customFormat="1" hidden="1">
      <c r="A292" s="218" t="s">
        <v>309</v>
      </c>
      <c r="B292" s="218" t="s">
        <v>41</v>
      </c>
      <c r="C292" s="225">
        <v>988100494</v>
      </c>
      <c r="D292" s="164" t="s">
        <v>455</v>
      </c>
      <c r="E292" s="216"/>
      <c r="G292" s="214" t="str">
        <f>Table18[[#This Row],[KATEGORI]]</f>
        <v>BUKU</v>
      </c>
      <c r="H292" s="214" t="str">
        <f>Table18[[#This Row],[TYPE]]</f>
        <v>CONSIGNMENT</v>
      </c>
      <c r="I292" s="215">
        <f>Table18[[#This Row],[ITEM CODE]]</f>
        <v>988100494</v>
      </c>
      <c r="J292" s="215" t="str">
        <f>Table18[[#This Row],[ITEM NAME]]</f>
        <v xml:space="preserve">YES! I CAN READ-THE WIND AND THE SUN    </v>
      </c>
      <c r="K292" s="217"/>
    </row>
    <row r="293" spans="1:11" s="219" customFormat="1" hidden="1">
      <c r="A293" s="218" t="s">
        <v>309</v>
      </c>
      <c r="B293" s="218" t="s">
        <v>41</v>
      </c>
      <c r="C293" s="225">
        <v>988100495</v>
      </c>
      <c r="D293" s="164" t="s">
        <v>456</v>
      </c>
      <c r="E293" s="216"/>
      <c r="G293" s="214" t="str">
        <f>Table18[[#This Row],[KATEGORI]]</f>
        <v>BUKU</v>
      </c>
      <c r="H293" s="214" t="str">
        <f>Table18[[#This Row],[TYPE]]</f>
        <v>CONSIGNMENT</v>
      </c>
      <c r="I293" s="215">
        <f>Table18[[#This Row],[ITEM CODE]]</f>
        <v>988100495</v>
      </c>
      <c r="J293" s="215" t="str">
        <f>Table18[[#This Row],[ITEM NAME]]</f>
        <v xml:space="preserve">YES!I CAN READ-THE LAZY LION            </v>
      </c>
      <c r="K293" s="217"/>
    </row>
    <row r="294" spans="1:11" s="219" customFormat="1" hidden="1">
      <c r="A294" s="218" t="s">
        <v>309</v>
      </c>
      <c r="B294" s="218" t="s">
        <v>41</v>
      </c>
      <c r="C294" s="225">
        <v>988100496</v>
      </c>
      <c r="D294" s="164" t="s">
        <v>457</v>
      </c>
      <c r="E294" s="216"/>
      <c r="G294" s="214" t="str">
        <f>Table18[[#This Row],[KATEGORI]]</f>
        <v>BUKU</v>
      </c>
      <c r="H294" s="214" t="str">
        <f>Table18[[#This Row],[TYPE]]</f>
        <v>CONSIGNMENT</v>
      </c>
      <c r="I294" s="215">
        <f>Table18[[#This Row],[ITEM CODE]]</f>
        <v>988100496</v>
      </c>
      <c r="J294" s="215" t="str">
        <f>Table18[[#This Row],[ITEM NAME]]</f>
        <v xml:space="preserve">YES!ICAN READ-THE MAGIC POT             </v>
      </c>
      <c r="K294" s="217"/>
    </row>
    <row r="295" spans="1:11" s="219" customFormat="1" hidden="1">
      <c r="A295" s="218" t="s">
        <v>309</v>
      </c>
      <c r="B295" s="218" t="s">
        <v>41</v>
      </c>
      <c r="C295" s="225">
        <v>988100497</v>
      </c>
      <c r="D295" s="164" t="s">
        <v>458</v>
      </c>
      <c r="E295" s="216"/>
      <c r="G295" s="214" t="str">
        <f>Table18[[#This Row],[KATEGORI]]</f>
        <v>BUKU</v>
      </c>
      <c r="H295" s="214" t="str">
        <f>Table18[[#This Row],[TYPE]]</f>
        <v>CONSIGNMENT</v>
      </c>
      <c r="I295" s="215">
        <f>Table18[[#This Row],[ITEM CODE]]</f>
        <v>988100497</v>
      </c>
      <c r="J295" s="215" t="str">
        <f>Table18[[#This Row],[ITEM NAME]]</f>
        <v xml:space="preserve">'Hello Animals! The Hardworking Ants     </v>
      </c>
      <c r="K295" s="217"/>
    </row>
    <row r="296" spans="1:11" s="219" customFormat="1" hidden="1">
      <c r="A296" s="218" t="s">
        <v>309</v>
      </c>
      <c r="B296" s="218" t="s">
        <v>41</v>
      </c>
      <c r="C296" s="225">
        <v>988100498</v>
      </c>
      <c r="D296" s="164" t="s">
        <v>401</v>
      </c>
      <c r="E296" s="216"/>
      <c r="G296" s="214" t="str">
        <f>Table18[[#This Row],[KATEGORI]]</f>
        <v>BUKU</v>
      </c>
      <c r="H296" s="214" t="str">
        <f>Table18[[#This Row],[TYPE]]</f>
        <v>CONSIGNMENT</v>
      </c>
      <c r="I296" s="215">
        <f>Table18[[#This Row],[ITEM CODE]]</f>
        <v>988100498</v>
      </c>
      <c r="J296" s="215" t="str">
        <f>Table18[[#This Row],[ITEM NAME]]</f>
        <v xml:space="preserve">HELLO ANIMALS - Little Gecko Loses its tail!              </v>
      </c>
      <c r="K296" s="217"/>
    </row>
    <row r="297" spans="1:11" s="219" customFormat="1" hidden="1">
      <c r="A297" s="218" t="s">
        <v>309</v>
      </c>
      <c r="B297" s="218" t="s">
        <v>41</v>
      </c>
      <c r="C297" s="225">
        <v>988100499</v>
      </c>
      <c r="D297" s="164" t="s">
        <v>357</v>
      </c>
      <c r="E297" s="216"/>
      <c r="G297" s="214" t="str">
        <f>Table18[[#This Row],[KATEGORI]]</f>
        <v>BUKU</v>
      </c>
      <c r="H297" s="214" t="str">
        <f>Table18[[#This Row],[TYPE]]</f>
        <v>CONSIGNMENT</v>
      </c>
      <c r="I297" s="215">
        <f>Table18[[#This Row],[ITEM CODE]]</f>
        <v>988100499</v>
      </c>
      <c r="J297" s="215" t="str">
        <f>Table18[[#This Row],[ITEM NAME]]</f>
        <v xml:space="preserve">Bright Kids Book - Learn and Write Letters and Numbers </v>
      </c>
      <c r="K297" s="217"/>
    </row>
    <row r="298" spans="1:11" s="219" customFormat="1" hidden="1">
      <c r="A298" s="218" t="s">
        <v>309</v>
      </c>
      <c r="B298" s="218" t="s">
        <v>41</v>
      </c>
      <c r="C298" s="225">
        <v>988100500</v>
      </c>
      <c r="D298" s="164" t="s">
        <v>459</v>
      </c>
      <c r="E298" s="216"/>
      <c r="G298" s="214" t="str">
        <f>Table18[[#This Row],[KATEGORI]]</f>
        <v>BUKU</v>
      </c>
      <c r="H298" s="214" t="str">
        <f>Table18[[#This Row],[TYPE]]</f>
        <v>CONSIGNMENT</v>
      </c>
      <c r="I298" s="215">
        <f>Table18[[#This Row],[ITEM CODE]]</f>
        <v>988100500</v>
      </c>
      <c r="J298" s="215" t="str">
        <f>Table18[[#This Row],[ITEM NAME]]</f>
        <v>bright Kids Book - Nursery English 1 (new)</v>
      </c>
      <c r="K298" s="217"/>
    </row>
    <row r="299" spans="1:11" s="219" customFormat="1" hidden="1">
      <c r="A299" s="218" t="s">
        <v>309</v>
      </c>
      <c r="B299" s="218" t="s">
        <v>41</v>
      </c>
      <c r="C299" s="225">
        <v>988100501</v>
      </c>
      <c r="D299" s="164" t="s">
        <v>460</v>
      </c>
      <c r="E299" s="216"/>
      <c r="G299" s="214" t="str">
        <f>Table18[[#This Row],[KATEGORI]]</f>
        <v>BUKU</v>
      </c>
      <c r="H299" s="214" t="str">
        <f>Table18[[#This Row],[TYPE]]</f>
        <v>CONSIGNMENT</v>
      </c>
      <c r="I299" s="215">
        <f>Table18[[#This Row],[ITEM CODE]]</f>
        <v>988100501</v>
      </c>
      <c r="J299" s="215" t="str">
        <f>Table18[[#This Row],[ITEM NAME]]</f>
        <v>Bright Kids Book - Pre Primary English</v>
      </c>
      <c r="K299" s="217"/>
    </row>
    <row r="300" spans="1:11" s="219" customFormat="1" hidden="1">
      <c r="A300" s="218" t="s">
        <v>309</v>
      </c>
      <c r="B300" s="218" t="s">
        <v>41</v>
      </c>
      <c r="C300" s="225">
        <v>988100502</v>
      </c>
      <c r="D300" s="164" t="s">
        <v>461</v>
      </c>
      <c r="E300" s="216"/>
      <c r="G300" s="214" t="str">
        <f>Table18[[#This Row],[KATEGORI]]</f>
        <v>BUKU</v>
      </c>
      <c r="H300" s="214" t="str">
        <f>Table18[[#This Row],[TYPE]]</f>
        <v>CONSIGNMENT</v>
      </c>
      <c r="I300" s="215">
        <f>Table18[[#This Row],[ITEM CODE]]</f>
        <v>988100502</v>
      </c>
      <c r="J300" s="215" t="str">
        <f>Table18[[#This Row],[ITEM NAME]]</f>
        <v>Bright Kids Book - Pre Primary Science</v>
      </c>
      <c r="K300" s="217"/>
    </row>
    <row r="301" spans="1:11" s="219" customFormat="1" hidden="1">
      <c r="A301" s="218" t="s">
        <v>309</v>
      </c>
      <c r="B301" s="218" t="s">
        <v>41</v>
      </c>
      <c r="C301" s="225">
        <v>988100503</v>
      </c>
      <c r="D301" s="164" t="s">
        <v>462</v>
      </c>
      <c r="E301" s="216"/>
      <c r="G301" s="214" t="str">
        <f>Table18[[#This Row],[KATEGORI]]</f>
        <v>BUKU</v>
      </c>
      <c r="H301" s="214" t="str">
        <f>Table18[[#This Row],[TYPE]]</f>
        <v>CONSIGNMENT</v>
      </c>
      <c r="I301" s="215">
        <f>Table18[[#This Row],[ITEM CODE]]</f>
        <v>988100503</v>
      </c>
      <c r="J301" s="215" t="str">
        <f>Table18[[#This Row],[ITEM NAME]]</f>
        <v>Bright Kids Books - Shine in Maths</v>
      </c>
      <c r="K301" s="217"/>
    </row>
    <row r="302" spans="1:11" s="219" customFormat="1" hidden="1">
      <c r="A302" s="218" t="s">
        <v>309</v>
      </c>
      <c r="B302" s="218" t="s">
        <v>41</v>
      </c>
      <c r="C302" s="225">
        <v>988100504</v>
      </c>
      <c r="D302" s="164" t="s">
        <v>463</v>
      </c>
      <c r="E302" s="216"/>
      <c r="G302" s="214" t="str">
        <f>Table18[[#This Row],[KATEGORI]]</f>
        <v>BUKU</v>
      </c>
      <c r="H302" s="214" t="str">
        <f>Table18[[#This Row],[TYPE]]</f>
        <v>CONSIGNMENT</v>
      </c>
      <c r="I302" s="215">
        <f>Table18[[#This Row],[ITEM CODE]]</f>
        <v>988100504</v>
      </c>
      <c r="J302" s="215" t="str">
        <f>Table18[[#This Row],[ITEM NAME]]</f>
        <v>Bright Kids Books - Shine in English</v>
      </c>
      <c r="K302" s="217"/>
    </row>
    <row r="303" spans="1:11" s="219" customFormat="1" hidden="1">
      <c r="A303" s="218" t="s">
        <v>309</v>
      </c>
      <c r="B303" s="218" t="s">
        <v>41</v>
      </c>
      <c r="C303" s="225">
        <v>988100505</v>
      </c>
      <c r="D303" s="164" t="s">
        <v>464</v>
      </c>
      <c r="E303" s="216"/>
      <c r="G303" s="214" t="str">
        <f>Table18[[#This Row],[KATEGORI]]</f>
        <v>BUKU</v>
      </c>
      <c r="H303" s="214" t="str">
        <f>Table18[[#This Row],[TYPE]]</f>
        <v>CONSIGNMENT</v>
      </c>
      <c r="I303" s="215">
        <f>Table18[[#This Row],[ITEM CODE]]</f>
        <v>988100505</v>
      </c>
      <c r="J303" s="215" t="str">
        <f>Table18[[#This Row],[ITEM NAME]]</f>
        <v>Bright Kids Book - Pre Primary Maths</v>
      </c>
      <c r="K303" s="217"/>
    </row>
    <row r="304" spans="1:11" s="219" customFormat="1" hidden="1">
      <c r="A304" s="218" t="s">
        <v>309</v>
      </c>
      <c r="B304" s="218" t="s">
        <v>41</v>
      </c>
      <c r="C304" s="225">
        <v>988100506</v>
      </c>
      <c r="D304" s="164" t="s">
        <v>465</v>
      </c>
      <c r="E304" s="216"/>
      <c r="G304" s="214" t="str">
        <f>Table18[[#This Row],[KATEGORI]]</f>
        <v>BUKU</v>
      </c>
      <c r="H304" s="214" t="str">
        <f>Table18[[#This Row],[TYPE]]</f>
        <v>CONSIGNMENT</v>
      </c>
      <c r="I304" s="215">
        <f>Table18[[#This Row],[ITEM CODE]]</f>
        <v>988100506</v>
      </c>
      <c r="J304" s="215" t="str">
        <f>Table18[[#This Row],[ITEM NAME]]</f>
        <v>STAR READERS L.2 - A SPECIAL DAY</v>
      </c>
      <c r="K304" s="217"/>
    </row>
    <row r="305" spans="1:11" s="219" customFormat="1" hidden="1">
      <c r="A305" s="218" t="s">
        <v>309</v>
      </c>
      <c r="B305" s="218" t="s">
        <v>41</v>
      </c>
      <c r="C305" s="225">
        <v>988100507</v>
      </c>
      <c r="D305" s="164" t="s">
        <v>466</v>
      </c>
      <c r="E305" s="216"/>
      <c r="G305" s="214" t="str">
        <f>Table18[[#This Row],[KATEGORI]]</f>
        <v>BUKU</v>
      </c>
      <c r="H305" s="214" t="str">
        <f>Table18[[#This Row],[TYPE]]</f>
        <v>CONSIGNMENT</v>
      </c>
      <c r="I305" s="215">
        <f>Table18[[#This Row],[ITEM CODE]]</f>
        <v>988100507</v>
      </c>
      <c r="J305" s="215" t="str">
        <f>Table18[[#This Row],[ITEM NAME]]</f>
        <v>STAR READERS L.2 - LITTLE CHIP</v>
      </c>
      <c r="K305" s="217"/>
    </row>
    <row r="306" spans="1:11" s="219" customFormat="1" hidden="1">
      <c r="A306" s="218" t="s">
        <v>309</v>
      </c>
      <c r="B306" s="218" t="s">
        <v>41</v>
      </c>
      <c r="C306" s="225">
        <v>988100508</v>
      </c>
      <c r="D306" s="164" t="s">
        <v>467</v>
      </c>
      <c r="E306" s="216"/>
      <c r="G306" s="214" t="str">
        <f>Table18[[#This Row],[KATEGORI]]</f>
        <v>BUKU</v>
      </c>
      <c r="H306" s="214" t="str">
        <f>Table18[[#This Row],[TYPE]]</f>
        <v>CONSIGNMENT</v>
      </c>
      <c r="I306" s="215">
        <f>Table18[[#This Row],[ITEM CODE]]</f>
        <v>988100508</v>
      </c>
      <c r="J306" s="215" t="str">
        <f>Table18[[#This Row],[ITEM NAME]]</f>
        <v>STAR READERS L.2 - OUR LOVELY GARDEN</v>
      </c>
      <c r="K306" s="217"/>
    </row>
    <row r="307" spans="1:11" s="219" customFormat="1" hidden="1">
      <c r="A307" s="218" t="s">
        <v>309</v>
      </c>
      <c r="B307" s="218" t="s">
        <v>41</v>
      </c>
      <c r="C307" s="225">
        <v>988100509</v>
      </c>
      <c r="D307" s="164" t="s">
        <v>468</v>
      </c>
      <c r="E307" s="216"/>
      <c r="G307" s="214" t="str">
        <f>Table18[[#This Row],[KATEGORI]]</f>
        <v>BUKU</v>
      </c>
      <c r="H307" s="214" t="str">
        <f>Table18[[#This Row],[TYPE]]</f>
        <v>CONSIGNMENT</v>
      </c>
      <c r="I307" s="215">
        <f>Table18[[#This Row],[ITEM CODE]]</f>
        <v>988100509</v>
      </c>
      <c r="J307" s="215" t="str">
        <f>Table18[[#This Row],[ITEM NAME]]</f>
        <v>STAR READERS L.2 - MR DELLS FARM</v>
      </c>
      <c r="K307" s="217"/>
    </row>
    <row r="308" spans="1:11" s="219" customFormat="1" hidden="1">
      <c r="A308" s="218" t="s">
        <v>309</v>
      </c>
      <c r="B308" s="218" t="s">
        <v>41</v>
      </c>
      <c r="C308" s="225">
        <v>988100510</v>
      </c>
      <c r="D308" s="164" t="s">
        <v>469</v>
      </c>
      <c r="E308" s="216"/>
      <c r="G308" s="214" t="str">
        <f>Table18[[#This Row],[KATEGORI]]</f>
        <v>BUKU</v>
      </c>
      <c r="H308" s="214" t="str">
        <f>Table18[[#This Row],[TYPE]]</f>
        <v>CONSIGNMENT</v>
      </c>
      <c r="I308" s="215">
        <f>Table18[[#This Row],[ITEM CODE]]</f>
        <v>988100510</v>
      </c>
      <c r="J308" s="215" t="str">
        <f>Table18[[#This Row],[ITEM NAME]]</f>
        <v>STAR READERS L.2 - IT IS ALL RIGHT !</v>
      </c>
      <c r="K308" s="217"/>
    </row>
    <row r="309" spans="1:11" s="219" customFormat="1" hidden="1">
      <c r="A309" s="218" t="s">
        <v>309</v>
      </c>
      <c r="B309" s="218" t="s">
        <v>41</v>
      </c>
      <c r="C309" s="225">
        <v>988100511</v>
      </c>
      <c r="D309" s="164" t="s">
        <v>470</v>
      </c>
      <c r="E309" s="216"/>
      <c r="G309" s="214" t="str">
        <f>Table18[[#This Row],[KATEGORI]]</f>
        <v>BUKU</v>
      </c>
      <c r="H309" s="214" t="str">
        <f>Table18[[#This Row],[TYPE]]</f>
        <v>CONSIGNMENT</v>
      </c>
      <c r="I309" s="215">
        <f>Table18[[#This Row],[ITEM CODE]]</f>
        <v>988100511</v>
      </c>
      <c r="J309" s="215" t="str">
        <f>Table18[[#This Row],[ITEM NAME]]</f>
        <v>STAR READERS L.2 - WHAT CAN WE GIVE ?</v>
      </c>
      <c r="K309" s="217"/>
    </row>
    <row r="310" spans="1:11" s="219" customFormat="1" hidden="1">
      <c r="A310" s="218" t="s">
        <v>309</v>
      </c>
      <c r="B310" s="218" t="s">
        <v>41</v>
      </c>
      <c r="C310" s="225">
        <v>988100512</v>
      </c>
      <c r="D310" s="164" t="s">
        <v>471</v>
      </c>
      <c r="E310" s="216"/>
      <c r="G310" s="214" t="str">
        <f>Table18[[#This Row],[KATEGORI]]</f>
        <v>BUKU</v>
      </c>
      <c r="H310" s="214" t="str">
        <f>Table18[[#This Row],[TYPE]]</f>
        <v>CONSIGNMENT</v>
      </c>
      <c r="I310" s="215">
        <f>Table18[[#This Row],[ITEM CODE]]</f>
        <v>988100512</v>
      </c>
      <c r="J310" s="215" t="str">
        <f>Table18[[#This Row],[ITEM NAME]]</f>
        <v>STAR READER LEVEL  3 - Shopping with mother</v>
      </c>
      <c r="K310" s="217"/>
    </row>
    <row r="311" spans="1:11" s="219" customFormat="1" hidden="1">
      <c r="A311" s="218" t="s">
        <v>309</v>
      </c>
      <c r="B311" s="218" t="s">
        <v>41</v>
      </c>
      <c r="C311" s="225">
        <v>988100513</v>
      </c>
      <c r="D311" s="164" t="s">
        <v>472</v>
      </c>
      <c r="E311" s="216"/>
      <c r="G311" s="214" t="str">
        <f>Table18[[#This Row],[KATEGORI]]</f>
        <v>BUKU</v>
      </c>
      <c r="H311" s="214" t="str">
        <f>Table18[[#This Row],[TYPE]]</f>
        <v>CONSIGNMENT</v>
      </c>
      <c r="I311" s="215">
        <f>Table18[[#This Row],[ITEM CODE]]</f>
        <v>988100513</v>
      </c>
      <c r="J311" s="215" t="str">
        <f>Table18[[#This Row],[ITEM NAME]]</f>
        <v>STAR READER LEVEL  3 - Jim Goes to the Doctor</v>
      </c>
      <c r="K311" s="217"/>
    </row>
    <row r="312" spans="1:11" s="219" customFormat="1" hidden="1">
      <c r="A312" s="218" t="s">
        <v>309</v>
      </c>
      <c r="B312" s="218" t="s">
        <v>41</v>
      </c>
      <c r="C312" s="225">
        <v>988100514</v>
      </c>
      <c r="D312" s="164" t="s">
        <v>473</v>
      </c>
      <c r="E312" s="216"/>
      <c r="G312" s="214" t="str">
        <f>Table18[[#This Row],[KATEGORI]]</f>
        <v>BUKU</v>
      </c>
      <c r="H312" s="214" t="str">
        <f>Table18[[#This Row],[TYPE]]</f>
        <v>CONSIGNMENT</v>
      </c>
      <c r="I312" s="215">
        <f>Table18[[#This Row],[ITEM CODE]]</f>
        <v>988100514</v>
      </c>
      <c r="J312" s="215" t="str">
        <f>Table18[[#This Row],[ITEM NAME]]</f>
        <v>STAR READER LEVEL  3 - Going On Holiday</v>
      </c>
      <c r="K312" s="217"/>
    </row>
    <row r="313" spans="1:11" s="219" customFormat="1" hidden="1">
      <c r="A313" s="218" t="s">
        <v>309</v>
      </c>
      <c r="B313" s="218" t="s">
        <v>41</v>
      </c>
      <c r="C313" s="225">
        <v>988100515</v>
      </c>
      <c r="D313" s="164" t="s">
        <v>474</v>
      </c>
      <c r="E313" s="216"/>
      <c r="G313" s="214" t="str">
        <f>Table18[[#This Row],[KATEGORI]]</f>
        <v>BUKU</v>
      </c>
      <c r="H313" s="214" t="str">
        <f>Table18[[#This Row],[TYPE]]</f>
        <v>CONSIGNMENT</v>
      </c>
      <c r="I313" s="215">
        <f>Table18[[#This Row],[ITEM CODE]]</f>
        <v>988100515</v>
      </c>
      <c r="J313" s="215" t="str">
        <f>Table18[[#This Row],[ITEM NAME]]</f>
        <v>STAR READER LEVEL  3 - Pandas, Zebras and More</v>
      </c>
      <c r="K313" s="217"/>
    </row>
    <row r="314" spans="1:11" s="219" customFormat="1" hidden="1">
      <c r="A314" s="218" t="s">
        <v>309</v>
      </c>
      <c r="B314" s="218" t="s">
        <v>41</v>
      </c>
      <c r="C314" s="225">
        <v>988100516</v>
      </c>
      <c r="D314" s="164" t="s">
        <v>475</v>
      </c>
      <c r="E314" s="216"/>
      <c r="G314" s="214" t="str">
        <f>Table18[[#This Row],[KATEGORI]]</f>
        <v>BUKU</v>
      </c>
      <c r="H314" s="214" t="str">
        <f>Table18[[#This Row],[TYPE]]</f>
        <v>CONSIGNMENT</v>
      </c>
      <c r="I314" s="215">
        <f>Table18[[#This Row],[ITEM CODE]]</f>
        <v>988100516</v>
      </c>
      <c r="J314" s="215" t="str">
        <f>Table18[[#This Row],[ITEM NAME]]</f>
        <v>STAR READER LEVEL  3 - The Storm</v>
      </c>
      <c r="K314" s="217"/>
    </row>
    <row r="315" spans="1:11" s="219" customFormat="1" hidden="1">
      <c r="A315" s="218" t="s">
        <v>309</v>
      </c>
      <c r="B315" s="218" t="s">
        <v>41</v>
      </c>
      <c r="C315" s="225">
        <v>988100517</v>
      </c>
      <c r="D315" s="164" t="s">
        <v>476</v>
      </c>
      <c r="E315" s="216"/>
      <c r="G315" s="214" t="str">
        <f>Table18[[#This Row],[KATEGORI]]</f>
        <v>BUKU</v>
      </c>
      <c r="H315" s="214" t="str">
        <f>Table18[[#This Row],[TYPE]]</f>
        <v>CONSIGNMENT</v>
      </c>
      <c r="I315" s="215">
        <f>Table18[[#This Row],[ITEM CODE]]</f>
        <v>988100517</v>
      </c>
      <c r="J315" s="215" t="str">
        <f>Table18[[#This Row],[ITEM NAME]]</f>
        <v>STAR READER LEVEL  3 - Wow, a Fire Engine!</v>
      </c>
      <c r="K315" s="217"/>
    </row>
    <row r="316" spans="1:11" s="219" customFormat="1" hidden="1">
      <c r="A316" s="218" t="s">
        <v>309</v>
      </c>
      <c r="B316" s="218" t="s">
        <v>41</v>
      </c>
      <c r="C316" s="225">
        <v>988100518</v>
      </c>
      <c r="D316" s="164" t="s">
        <v>477</v>
      </c>
      <c r="E316" s="216"/>
      <c r="G316" s="214" t="str">
        <f>Table18[[#This Row],[KATEGORI]]</f>
        <v>BUKU</v>
      </c>
      <c r="H316" s="214" t="str">
        <f>Table18[[#This Row],[TYPE]]</f>
        <v>CONSIGNMENT</v>
      </c>
      <c r="I316" s="215">
        <f>Table18[[#This Row],[ITEM CODE]]</f>
        <v>988100518</v>
      </c>
      <c r="J316" s="215" t="str">
        <f>Table18[[#This Row],[ITEM NAME]]</f>
        <v>BR-Unicorn Magic Activity Book</v>
      </c>
      <c r="K316" s="217"/>
    </row>
    <row r="317" spans="1:11" s="219" customFormat="1" hidden="1">
      <c r="A317" s="218" t="s">
        <v>309</v>
      </c>
      <c r="B317" s="218" t="s">
        <v>41</v>
      </c>
      <c r="C317" s="225">
        <v>988100519</v>
      </c>
      <c r="D317" s="164" t="s">
        <v>478</v>
      </c>
      <c r="E317" s="216"/>
      <c r="G317" s="214" t="str">
        <f>Table18[[#This Row],[KATEGORI]]</f>
        <v>BUKU</v>
      </c>
      <c r="H317" s="214" t="str">
        <f>Table18[[#This Row],[TYPE]]</f>
        <v>CONSIGNMENT</v>
      </c>
      <c r="I317" s="215">
        <f>Table18[[#This Row],[ITEM CODE]]</f>
        <v>988100519</v>
      </c>
      <c r="J317" s="215" t="str">
        <f>Table18[[#This Row],[ITEM NAME]]</f>
        <v>My Little Pony Sticker Book</v>
      </c>
      <c r="K317" s="217"/>
    </row>
    <row r="318" spans="1:11" s="219" customFormat="1" hidden="1">
      <c r="A318" s="218" t="s">
        <v>309</v>
      </c>
      <c r="B318" s="218" t="s">
        <v>41</v>
      </c>
      <c r="C318" s="225">
        <v>988100520</v>
      </c>
      <c r="D318" s="164" t="s">
        <v>479</v>
      </c>
      <c r="E318" s="216"/>
      <c r="G318" s="214" t="str">
        <f>Table18[[#This Row],[KATEGORI]]</f>
        <v>BUKU</v>
      </c>
      <c r="H318" s="214" t="str">
        <f>Table18[[#This Row],[TYPE]]</f>
        <v>CONSIGNMENT</v>
      </c>
      <c r="I318" s="215">
        <f>Table18[[#This Row],[ITEM CODE]]</f>
        <v>988100520</v>
      </c>
      <c r="J318" s="215" t="str">
        <f>Table18[[#This Row],[ITEM NAME]]</f>
        <v>Marvel Spiderman 1001 sticker book</v>
      </c>
      <c r="K318" s="217"/>
    </row>
    <row r="319" spans="1:11" s="219" customFormat="1" hidden="1">
      <c r="A319" s="218" t="s">
        <v>309</v>
      </c>
      <c r="B319" s="218" t="s">
        <v>41</v>
      </c>
      <c r="C319" s="225">
        <v>988100521</v>
      </c>
      <c r="D319" s="226" t="s">
        <v>480</v>
      </c>
      <c r="E319" s="216"/>
      <c r="G319" s="214" t="str">
        <f>Table18[[#This Row],[KATEGORI]]</f>
        <v>BUKU</v>
      </c>
      <c r="H319" s="214" t="str">
        <f>Table18[[#This Row],[TYPE]]</f>
        <v>CONSIGNMENT</v>
      </c>
      <c r="I319" s="215">
        <f>Table18[[#This Row],[ITEM CODE]]</f>
        <v>988100521</v>
      </c>
      <c r="J319" s="215" t="str">
        <f>Table18[[#This Row],[ITEM NAME]]</f>
        <v>Disney PIXAR - Colouring Fun Pad</v>
      </c>
      <c r="K319" s="217"/>
    </row>
    <row r="320" spans="1:11" s="219" customFormat="1" hidden="1">
      <c r="A320" s="218" t="s">
        <v>309</v>
      </c>
      <c r="B320" s="218" t="s">
        <v>41</v>
      </c>
      <c r="C320" s="215">
        <v>988100522</v>
      </c>
      <c r="D320" s="164" t="s">
        <v>481</v>
      </c>
      <c r="E320" s="216"/>
      <c r="G320" s="214" t="str">
        <f>Table18[[#This Row],[KATEGORI]]</f>
        <v>BUKU</v>
      </c>
      <c r="H320" s="214" t="str">
        <f>Table18[[#This Row],[TYPE]]</f>
        <v>CONSIGNMENT</v>
      </c>
      <c r="I320" s="215">
        <f>Table18[[#This Row],[ITEM CODE]]</f>
        <v>988100522</v>
      </c>
      <c r="J320" s="215" t="str">
        <f>Table18[[#This Row],[ITEM NAME]]</f>
        <v>Marvel Spiderman - Colouring Fun Pad</v>
      </c>
      <c r="K320" s="217"/>
    </row>
    <row r="321" spans="1:11" s="219" customFormat="1" hidden="1">
      <c r="A321" s="218" t="s">
        <v>25</v>
      </c>
      <c r="B321" s="218" t="s">
        <v>7</v>
      </c>
      <c r="C321" s="215">
        <v>988100535</v>
      </c>
      <c r="D321" s="164" t="s">
        <v>493</v>
      </c>
      <c r="E321" s="216"/>
      <c r="G321" s="214" t="str">
        <f>Table18[[#This Row],[KATEGORI]]</f>
        <v>SNACK</v>
      </c>
      <c r="H321" s="214" t="str">
        <f>Table18[[#This Row],[TYPE]]</f>
        <v>RETAIL</v>
      </c>
      <c r="I321" s="215">
        <f>Table18[[#This Row],[ITEM CODE]]</f>
        <v>988100535</v>
      </c>
      <c r="J321" s="215" t="str">
        <f>Table18[[#This Row],[ITEM NAME]]</f>
        <v>CHIKI TWIST AYAM BAKAR 40GR</v>
      </c>
      <c r="K321" s="217"/>
    </row>
    <row r="322" spans="1:11" s="219" customFormat="1">
      <c r="A322" s="218" t="s">
        <v>89</v>
      </c>
      <c r="B322" s="218" t="s">
        <v>7</v>
      </c>
      <c r="C322" s="215">
        <v>988100468</v>
      </c>
      <c r="D322" s="222" t="s">
        <v>99</v>
      </c>
      <c r="E322" s="216"/>
      <c r="G322" s="214" t="str">
        <f>Table18[[#This Row],[KATEGORI]]</f>
        <v>ES KRIM</v>
      </c>
      <c r="H322" s="214" t="str">
        <f>Table18[[#This Row],[TYPE]]</f>
        <v>RETAIL</v>
      </c>
      <c r="I322" s="215">
        <f>Table18[[#This Row],[ITEM CODE]]</f>
        <v>988100468</v>
      </c>
      <c r="J322" s="215" t="str">
        <f>Table18[[#This Row],[ITEM NAME]]</f>
        <v>HAKU J-CONE BLACK AND PINK 90ML</v>
      </c>
      <c r="K322" s="217">
        <v>2</v>
      </c>
    </row>
    <row r="323" spans="1:11" s="219" customFormat="1" hidden="1">
      <c r="A323" s="218" t="s">
        <v>25</v>
      </c>
      <c r="B323" s="218" t="s">
        <v>7</v>
      </c>
      <c r="C323" s="227" t="s">
        <v>849</v>
      </c>
      <c r="D323" s="228" t="s">
        <v>333</v>
      </c>
      <c r="E323" s="216"/>
      <c r="G323" s="214" t="str">
        <f>Table18[[#This Row],[KATEGORI]]</f>
        <v>SNACK</v>
      </c>
      <c r="H323" s="214" t="str">
        <f>Table18[[#This Row],[TYPE]]</f>
        <v>RETAIL</v>
      </c>
      <c r="I323" s="215" t="str">
        <f>Table18[[#This Row],[ITEM CODE]]</f>
        <v>200336</v>
      </c>
      <c r="J323" s="215" t="str">
        <f>Table18[[#This Row],[ITEM NAME]]</f>
        <v>QTELA SINGKONG ORIGINAL 60GR</v>
      </c>
      <c r="K323" s="217"/>
    </row>
    <row r="324" spans="1:11" s="219" customFormat="1" hidden="1">
      <c r="A324" s="218" t="s">
        <v>25</v>
      </c>
      <c r="B324" s="218" t="s">
        <v>7</v>
      </c>
      <c r="C324" s="227">
        <v>988100099</v>
      </c>
      <c r="D324" s="228" t="s">
        <v>334</v>
      </c>
      <c r="E324" s="216"/>
      <c r="G324" s="214" t="str">
        <f>Table18[[#This Row],[KATEGORI]]</f>
        <v>SNACK</v>
      </c>
      <c r="H324" s="214" t="str">
        <f>Table18[[#This Row],[TYPE]]</f>
        <v>RETAIL</v>
      </c>
      <c r="I324" s="215">
        <f>Table18[[#This Row],[ITEM CODE]]</f>
        <v>988100099</v>
      </c>
      <c r="J324" s="215" t="str">
        <f>Table18[[#This Row],[ITEM NAME]]</f>
        <v>QTELS TEMPE RUMPUT LAUT 60GR</v>
      </c>
      <c r="K324" s="217"/>
    </row>
    <row r="325" spans="1:11" s="219" customFormat="1" hidden="1">
      <c r="A325" s="218" t="s">
        <v>25</v>
      </c>
      <c r="B325" s="218" t="s">
        <v>7</v>
      </c>
      <c r="C325" s="229">
        <v>200003</v>
      </c>
      <c r="D325" s="230" t="s">
        <v>543</v>
      </c>
      <c r="E325" s="216"/>
      <c r="G325" s="214" t="str">
        <f>Table18[[#This Row],[KATEGORI]]</f>
        <v>SNACK</v>
      </c>
      <c r="H325" s="214" t="str">
        <f>Table18[[#This Row],[TYPE]]</f>
        <v>RETAIL</v>
      </c>
      <c r="I325" s="215">
        <f>Table18[[#This Row],[ITEM CODE]]</f>
        <v>200003</v>
      </c>
      <c r="J325" s="215" t="str">
        <f>Table18[[#This Row],[ITEM NAME]]</f>
        <v>CHITATO RS BUMBU BKR35GR</v>
      </c>
      <c r="K325" s="217"/>
    </row>
    <row r="326" spans="1:11" s="219" customFormat="1">
      <c r="A326" s="218" t="s">
        <v>89</v>
      </c>
      <c r="B326" s="218" t="s">
        <v>7</v>
      </c>
      <c r="C326" s="215">
        <v>988100542</v>
      </c>
      <c r="D326" s="228" t="s">
        <v>539</v>
      </c>
      <c r="E326" s="216"/>
      <c r="G326" s="214" t="str">
        <f>Table18[[#This Row],[KATEGORI]]</f>
        <v>ES KRIM</v>
      </c>
      <c r="H326" s="214" t="str">
        <f>Table18[[#This Row],[TYPE]]</f>
        <v>RETAIL</v>
      </c>
      <c r="I326" s="215">
        <f>Table18[[#This Row],[ITEM CODE]]</f>
        <v>988100542</v>
      </c>
      <c r="J326" s="215" t="str">
        <f>Table18[[#This Row],[ITEM NAME]]</f>
        <v>WAKU-WAKU SWEET LYCHEE 60ML</v>
      </c>
      <c r="K326" s="217">
        <v>3</v>
      </c>
    </row>
    <row r="327" spans="1:11" s="219" customFormat="1">
      <c r="A327" s="218" t="s">
        <v>89</v>
      </c>
      <c r="B327" s="218" t="s">
        <v>7</v>
      </c>
      <c r="C327" s="215">
        <v>988100543</v>
      </c>
      <c r="D327" s="228" t="s">
        <v>110</v>
      </c>
      <c r="E327" s="216">
        <v>22</v>
      </c>
      <c r="G327" s="214" t="str">
        <f>Table18[[#This Row],[KATEGORI]]</f>
        <v>ES KRIM</v>
      </c>
      <c r="H327" s="214" t="str">
        <f>Table18[[#This Row],[TYPE]]</f>
        <v>RETAIL</v>
      </c>
      <c r="I327" s="215">
        <f>Table18[[#This Row],[ITEM CODE]]</f>
        <v>988100543</v>
      </c>
      <c r="J327" s="215" t="str">
        <f>Table18[[#This Row],[ITEM NAME]]</f>
        <v>WAKU-WAKU COTTON CANDY  60ML</v>
      </c>
      <c r="K327" s="217">
        <v>10</v>
      </c>
    </row>
    <row r="328" spans="1:11" s="219" customFormat="1" hidden="1">
      <c r="A328" s="218" t="s">
        <v>25</v>
      </c>
      <c r="B328" s="218" t="s">
        <v>7</v>
      </c>
      <c r="C328" s="231">
        <v>988100539</v>
      </c>
      <c r="D328" s="232" t="s">
        <v>36</v>
      </c>
      <c r="E328" s="216"/>
      <c r="G328" s="214" t="str">
        <f>Table18[[#This Row],[KATEGORI]]</f>
        <v>SNACK</v>
      </c>
      <c r="H328" s="214" t="str">
        <f>Table18[[#This Row],[TYPE]]</f>
        <v>RETAIL</v>
      </c>
      <c r="I328" s="215">
        <f>Table18[[#This Row],[ITEM CODE]]</f>
        <v>988100539</v>
      </c>
      <c r="J328" s="215" t="str">
        <f>Table18[[#This Row],[ITEM NAME]]</f>
        <v>CHOCOMANIA COOKIES 69gr</v>
      </c>
      <c r="K328" s="217"/>
    </row>
    <row r="329" spans="1:11" s="219" customFormat="1">
      <c r="A329" s="218" t="s">
        <v>25</v>
      </c>
      <c r="B329" s="218" t="s">
        <v>7</v>
      </c>
      <c r="C329" s="229">
        <v>500048</v>
      </c>
      <c r="D329" s="230" t="s">
        <v>37</v>
      </c>
      <c r="E329" s="216">
        <v>3</v>
      </c>
      <c r="G329" s="214" t="str">
        <f>Table18[[#This Row],[KATEGORI]]</f>
        <v>SNACK</v>
      </c>
      <c r="H329" s="214" t="str">
        <f>Table18[[#This Row],[TYPE]]</f>
        <v>RETAIL</v>
      </c>
      <c r="I329" s="215">
        <f>Table18[[#This Row],[ITEM CODE]]</f>
        <v>500048</v>
      </c>
      <c r="J329" s="215" t="str">
        <f>Table18[[#This Row],[ITEM NAME]]</f>
        <v>FROZZ CHERYMINT 15GR</v>
      </c>
      <c r="K329" s="217"/>
    </row>
    <row r="330" spans="1:11" s="219" customFormat="1">
      <c r="A330" s="218" t="s">
        <v>25</v>
      </c>
      <c r="B330" s="218" t="s">
        <v>7</v>
      </c>
      <c r="C330" s="229">
        <v>500020</v>
      </c>
      <c r="D330" s="230" t="s">
        <v>38</v>
      </c>
      <c r="E330" s="216">
        <v>4</v>
      </c>
      <c r="G330" s="214" t="str">
        <f>Table18[[#This Row],[KATEGORI]]</f>
        <v>SNACK</v>
      </c>
      <c r="H330" s="214" t="str">
        <f>Table18[[#This Row],[TYPE]]</f>
        <v>RETAIL</v>
      </c>
      <c r="I330" s="215">
        <f>Table18[[#This Row],[ITEM CODE]]</f>
        <v>500020</v>
      </c>
      <c r="J330" s="215" t="str">
        <f>Table18[[#This Row],[ITEM NAME]]</f>
        <v>FROZZ ORANGE MINT 15GR</v>
      </c>
      <c r="K330" s="217"/>
    </row>
    <row r="331" spans="1:11" s="219" customFormat="1">
      <c r="A331" s="218" t="s">
        <v>25</v>
      </c>
      <c r="B331" s="218" t="s">
        <v>7</v>
      </c>
      <c r="C331" s="229">
        <v>990089</v>
      </c>
      <c r="D331" s="230" t="s">
        <v>159</v>
      </c>
      <c r="E331" s="216">
        <v>8</v>
      </c>
      <c r="G331" s="214" t="str">
        <f>Table18[[#This Row],[KATEGORI]]</f>
        <v>SNACK</v>
      </c>
      <c r="H331" s="214" t="str">
        <f>Table18[[#This Row],[TYPE]]</f>
        <v>RETAIL</v>
      </c>
      <c r="I331" s="215">
        <f>Table18[[#This Row],[ITEM CODE]]</f>
        <v>990089</v>
      </c>
      <c r="J331" s="215" t="str">
        <f>Table18[[#This Row],[ITEM NAME]]</f>
        <v>HEXOS MINT 12.5GR</v>
      </c>
      <c r="K331" s="217"/>
    </row>
    <row r="332" spans="1:11" s="219" customFormat="1">
      <c r="A332" s="218" t="s">
        <v>25</v>
      </c>
      <c r="B332" s="218" t="s">
        <v>7</v>
      </c>
      <c r="C332" s="229">
        <v>500009</v>
      </c>
      <c r="D332" s="230" t="s">
        <v>157</v>
      </c>
      <c r="E332" s="216">
        <v>20</v>
      </c>
      <c r="G332" s="214" t="str">
        <f>Table18[[#This Row],[KATEGORI]]</f>
        <v>SNACK</v>
      </c>
      <c r="H332" s="214" t="str">
        <f>Table18[[#This Row],[TYPE]]</f>
        <v>RETAIL</v>
      </c>
      <c r="I332" s="215">
        <f>Table18[[#This Row],[ITEM CODE]]</f>
        <v>500009</v>
      </c>
      <c r="J332" s="215" t="str">
        <f>Table18[[#This Row],[ITEM NAME]]</f>
        <v>NANO NANO ORANGE FLAVOUR2,5GR</v>
      </c>
      <c r="K332" s="217"/>
    </row>
    <row r="333" spans="1:11" s="219" customFormat="1">
      <c r="A333" s="218" t="s">
        <v>25</v>
      </c>
      <c r="B333" s="218" t="s">
        <v>7</v>
      </c>
      <c r="C333" s="231">
        <v>988100540</v>
      </c>
      <c r="D333" s="232" t="s">
        <v>39</v>
      </c>
      <c r="E333" s="216">
        <v>12</v>
      </c>
      <c r="G333" s="214" t="str">
        <f>Table18[[#This Row],[KATEGORI]]</f>
        <v>SNACK</v>
      </c>
      <c r="H333" s="214" t="str">
        <f>Table18[[#This Row],[TYPE]]</f>
        <v>RETAIL</v>
      </c>
      <c r="I333" s="215">
        <f>Table18[[#This Row],[ITEM CODE]]</f>
        <v>988100540</v>
      </c>
      <c r="J333" s="215" t="str">
        <f>Table18[[#This Row],[ITEM NAME]]</f>
        <v>TINI WINNIE BITTIE MANIS 20gr</v>
      </c>
      <c r="K333" s="217"/>
    </row>
    <row r="334" spans="1:11" s="219" customFormat="1">
      <c r="A334" s="218" t="s">
        <v>6</v>
      </c>
      <c r="B334" s="218" t="s">
        <v>7</v>
      </c>
      <c r="C334" s="215">
        <v>988100545</v>
      </c>
      <c r="D334" s="228" t="s">
        <v>498</v>
      </c>
      <c r="E334" s="216"/>
      <c r="G334" s="214" t="str">
        <f>Table18[[#This Row],[KATEGORI]]</f>
        <v>MINUMAN</v>
      </c>
      <c r="H334" s="214" t="str">
        <f>Table18[[#This Row],[TYPE]]</f>
        <v>RETAIL</v>
      </c>
      <c r="I334" s="215">
        <f>Table18[[#This Row],[ITEM CODE]]</f>
        <v>988100545</v>
      </c>
      <c r="J334" s="215" t="str">
        <f>Table18[[#This Row],[ITEM NAME]]</f>
        <v>ADEM SARI CHINGKU HERBAL 325ml</v>
      </c>
      <c r="K334" s="217">
        <v>6</v>
      </c>
    </row>
    <row r="335" spans="1:11" s="219" customFormat="1">
      <c r="A335" s="218" t="s">
        <v>25</v>
      </c>
      <c r="B335" s="218" t="s">
        <v>7</v>
      </c>
      <c r="C335" s="229">
        <v>500056</v>
      </c>
      <c r="D335" s="230" t="s">
        <v>158</v>
      </c>
      <c r="E335" s="216">
        <v>5</v>
      </c>
      <c r="G335" s="214" t="str">
        <f>Table18[[#This Row],[KATEGORI]]</f>
        <v>SNACK</v>
      </c>
      <c r="H335" s="214" t="str">
        <f>Table18[[#This Row],[TYPE]]</f>
        <v>RETAIL</v>
      </c>
      <c r="I335" s="215">
        <f>Table18[[#This Row],[ITEM CODE]]</f>
        <v>500056</v>
      </c>
      <c r="J335" s="215" t="str">
        <f>Table18[[#This Row],[ITEM NAME]]</f>
        <v>FROZZ MINT 15GR</v>
      </c>
      <c r="K335" s="217"/>
    </row>
    <row r="336" spans="1:11" s="219" customFormat="1" hidden="1">
      <c r="A336" s="218" t="s">
        <v>25</v>
      </c>
      <c r="B336" s="218" t="s">
        <v>7</v>
      </c>
      <c r="C336" s="215">
        <v>988100541</v>
      </c>
      <c r="D336" s="228" t="s">
        <v>497</v>
      </c>
      <c r="E336" s="216"/>
      <c r="G336" s="214" t="str">
        <f>Table18[[#This Row],[KATEGORI]]</f>
        <v>SNACK</v>
      </c>
      <c r="H336" s="214" t="str">
        <f>Table18[[#This Row],[TYPE]]</f>
        <v>RETAIL</v>
      </c>
      <c r="I336" s="215">
        <f>Table18[[#This Row],[ITEM CODE]]</f>
        <v>988100541</v>
      </c>
      <c r="J336" s="215" t="str">
        <f>Table18[[#This Row],[ITEM NAME]]</f>
        <v>PIATOS SAPI PANGGANG 35GR</v>
      </c>
      <c r="K336" s="217"/>
    </row>
    <row r="337" spans="1:11" s="219" customFormat="1" hidden="1">
      <c r="A337" s="218" t="s">
        <v>309</v>
      </c>
      <c r="B337" s="218" t="s">
        <v>41</v>
      </c>
      <c r="C337" s="215">
        <v>988100549</v>
      </c>
      <c r="D337" s="233" t="s">
        <v>505</v>
      </c>
      <c r="E337" s="216"/>
      <c r="G337" s="214" t="str">
        <f>Table18[[#This Row],[KATEGORI]]</f>
        <v>BUKU</v>
      </c>
      <c r="H337" s="214" t="str">
        <f>Table18[[#This Row],[TYPE]]</f>
        <v>CONSIGNMENT</v>
      </c>
      <c r="I337" s="215">
        <f>Table18[[#This Row],[ITEM CODE]]</f>
        <v>988100549</v>
      </c>
      <c r="J337" s="215" t="str">
        <f>Table18[[#This Row],[ITEM NAME]]</f>
        <v>Write and Learn - Vocabulary</v>
      </c>
      <c r="K337" s="217"/>
    </row>
    <row r="338" spans="1:11" s="219" customFormat="1" hidden="1">
      <c r="A338" s="218" t="s">
        <v>309</v>
      </c>
      <c r="B338" s="218" t="s">
        <v>41</v>
      </c>
      <c r="C338" s="215">
        <v>988100550</v>
      </c>
      <c r="D338" s="164" t="s">
        <v>506</v>
      </c>
      <c r="E338" s="216"/>
      <c r="G338" s="214" t="str">
        <f>Table18[[#This Row],[KATEGORI]]</f>
        <v>BUKU</v>
      </c>
      <c r="H338" s="214" t="str">
        <f>Table18[[#This Row],[TYPE]]</f>
        <v>CONSIGNMENT</v>
      </c>
      <c r="I338" s="215">
        <f>Table18[[#This Row],[ITEM CODE]]</f>
        <v>988100550</v>
      </c>
      <c r="J338" s="215" t="str">
        <f>Table18[[#This Row],[ITEM NAME]]</f>
        <v>Write and Learn - Multiplication</v>
      </c>
      <c r="K338" s="217"/>
    </row>
    <row r="339" spans="1:11" s="219" customFormat="1" hidden="1">
      <c r="A339" s="218" t="s">
        <v>309</v>
      </c>
      <c r="B339" s="218" t="s">
        <v>41</v>
      </c>
      <c r="C339" s="215">
        <v>988100551</v>
      </c>
      <c r="D339" s="164" t="s">
        <v>507</v>
      </c>
      <c r="E339" s="216"/>
      <c r="G339" s="214" t="str">
        <f>Table18[[#This Row],[KATEGORI]]</f>
        <v>BUKU</v>
      </c>
      <c r="H339" s="214" t="str">
        <f>Table18[[#This Row],[TYPE]]</f>
        <v>CONSIGNMENT</v>
      </c>
      <c r="I339" s="215">
        <f>Table18[[#This Row],[ITEM CODE]]</f>
        <v>988100551</v>
      </c>
      <c r="J339" s="215" t="str">
        <f>Table18[[#This Row],[ITEM NAME]]</f>
        <v>Unicorns Sticker Book</v>
      </c>
      <c r="K339" s="217"/>
    </row>
    <row r="340" spans="1:11" s="219" customFormat="1" hidden="1">
      <c r="A340" s="218" t="s">
        <v>309</v>
      </c>
      <c r="B340" s="218" t="s">
        <v>41</v>
      </c>
      <c r="C340" s="215">
        <v>988100552</v>
      </c>
      <c r="D340" s="164" t="s">
        <v>508</v>
      </c>
      <c r="E340" s="216"/>
      <c r="G340" s="214" t="str">
        <f>Table18[[#This Row],[KATEGORI]]</f>
        <v>BUKU</v>
      </c>
      <c r="H340" s="214" t="str">
        <f>Table18[[#This Row],[TYPE]]</f>
        <v>CONSIGNMENT</v>
      </c>
      <c r="I340" s="215">
        <f>Table18[[#This Row],[ITEM CODE]]</f>
        <v>988100552</v>
      </c>
      <c r="J340" s="215" t="str">
        <f>Table18[[#This Row],[ITEM NAME]]</f>
        <v>Colour 1 to 10</v>
      </c>
      <c r="K340" s="217"/>
    </row>
    <row r="341" spans="1:11" s="219" customFormat="1" hidden="1">
      <c r="A341" s="218" t="s">
        <v>309</v>
      </c>
      <c r="B341" s="218" t="s">
        <v>41</v>
      </c>
      <c r="C341" s="215">
        <v>988100553</v>
      </c>
      <c r="D341" s="164" t="s">
        <v>509</v>
      </c>
      <c r="E341" s="216"/>
      <c r="G341" s="214" t="str">
        <f>Table18[[#This Row],[KATEGORI]]</f>
        <v>BUKU</v>
      </c>
      <c r="H341" s="214" t="str">
        <f>Table18[[#This Row],[TYPE]]</f>
        <v>CONSIGNMENT</v>
      </c>
      <c r="I341" s="215">
        <f>Table18[[#This Row],[ITEM CODE]]</f>
        <v>988100553</v>
      </c>
      <c r="J341" s="215" t="str">
        <f>Table18[[#This Row],[ITEM NAME]]</f>
        <v>Colour A to Z</v>
      </c>
      <c r="K341" s="217"/>
    </row>
    <row r="342" spans="1:11" s="219" customFormat="1" hidden="1">
      <c r="A342" s="218" t="s">
        <v>309</v>
      </c>
      <c r="B342" s="218" t="s">
        <v>41</v>
      </c>
      <c r="C342" s="215">
        <v>988100554</v>
      </c>
      <c r="D342" s="164" t="s">
        <v>510</v>
      </c>
      <c r="E342" s="216"/>
      <c r="G342" s="214" t="str">
        <f>Table18[[#This Row],[KATEGORI]]</f>
        <v>BUKU</v>
      </c>
      <c r="H342" s="214" t="str">
        <f>Table18[[#This Row],[TYPE]]</f>
        <v>CONSIGNMENT</v>
      </c>
      <c r="I342" s="215">
        <f>Table18[[#This Row],[ITEM CODE]]</f>
        <v>988100554</v>
      </c>
      <c r="J342" s="215" t="str">
        <f>Table18[[#This Row],[ITEM NAME]]</f>
        <v>Miles Kelly - Horses &amp; Ponies</v>
      </c>
      <c r="K342" s="217"/>
    </row>
    <row r="343" spans="1:11" s="219" customFormat="1" hidden="1">
      <c r="A343" s="218" t="s">
        <v>309</v>
      </c>
      <c r="B343" s="218" t="s">
        <v>41</v>
      </c>
      <c r="C343" s="215">
        <v>988100555</v>
      </c>
      <c r="D343" s="164" t="s">
        <v>522</v>
      </c>
      <c r="E343" s="216"/>
      <c r="G343" s="214" t="str">
        <f>Table18[[#This Row],[KATEGORI]]</f>
        <v>BUKU</v>
      </c>
      <c r="H343" s="214" t="str">
        <f>Table18[[#This Row],[TYPE]]</f>
        <v>CONSIGNMENT</v>
      </c>
      <c r="I343" s="215">
        <f>Table18[[#This Row],[ITEM CODE]]</f>
        <v>988100555</v>
      </c>
      <c r="J343" s="215" t="str">
        <f>Table18[[#This Row],[ITEM NAME]]</f>
        <v>Miles Kelly -  Penguins</v>
      </c>
      <c r="K343" s="217"/>
    </row>
    <row r="344" spans="1:11" s="219" customFormat="1" hidden="1">
      <c r="A344" s="218" t="s">
        <v>309</v>
      </c>
      <c r="B344" s="218" t="s">
        <v>41</v>
      </c>
      <c r="C344" s="215">
        <v>988100556</v>
      </c>
      <c r="D344" s="164" t="s">
        <v>511</v>
      </c>
      <c r="E344" s="216"/>
      <c r="G344" s="214" t="str">
        <f>Table18[[#This Row],[KATEGORI]]</f>
        <v>BUKU</v>
      </c>
      <c r="H344" s="214" t="str">
        <f>Table18[[#This Row],[TYPE]]</f>
        <v>CONSIGNMENT</v>
      </c>
      <c r="I344" s="215">
        <f>Table18[[#This Row],[ITEM CODE]]</f>
        <v>988100556</v>
      </c>
      <c r="J344" s="215" t="str">
        <f>Table18[[#This Row],[ITEM NAME]]</f>
        <v>Miles Kelly - Cats and Kittens</v>
      </c>
      <c r="K344" s="217"/>
    </row>
    <row r="345" spans="1:11" s="219" customFormat="1" hidden="1">
      <c r="A345" s="218" t="s">
        <v>309</v>
      </c>
      <c r="B345" s="218" t="s">
        <v>41</v>
      </c>
      <c r="C345" s="215">
        <v>988100557</v>
      </c>
      <c r="D345" s="164" t="s">
        <v>512</v>
      </c>
      <c r="E345" s="216"/>
      <c r="G345" s="214" t="str">
        <f>Table18[[#This Row],[KATEGORI]]</f>
        <v>BUKU</v>
      </c>
      <c r="H345" s="214" t="str">
        <f>Table18[[#This Row],[TYPE]]</f>
        <v>CONSIGNMENT</v>
      </c>
      <c r="I345" s="215">
        <f>Table18[[#This Row],[ITEM CODE]]</f>
        <v>988100557</v>
      </c>
      <c r="J345" s="215" t="str">
        <f>Table18[[#This Row],[ITEM NAME]]</f>
        <v>Miles Kelly - Deadly Creatures</v>
      </c>
      <c r="K345" s="217"/>
    </row>
    <row r="346" spans="1:11" s="219" customFormat="1" hidden="1">
      <c r="A346" s="218" t="s">
        <v>309</v>
      </c>
      <c r="B346" s="218" t="s">
        <v>41</v>
      </c>
      <c r="C346" s="215">
        <v>988100558</v>
      </c>
      <c r="D346" s="164" t="s">
        <v>523</v>
      </c>
      <c r="E346" s="216"/>
      <c r="G346" s="214" t="str">
        <f>Table18[[#This Row],[KATEGORI]]</f>
        <v>BUKU</v>
      </c>
      <c r="H346" s="214" t="str">
        <f>Table18[[#This Row],[TYPE]]</f>
        <v>CONSIGNMENT</v>
      </c>
      <c r="I346" s="215">
        <f>Table18[[#This Row],[ITEM CODE]]</f>
        <v>988100558</v>
      </c>
      <c r="J346" s="215" t="str">
        <f>Table18[[#This Row],[ITEM NAME]]</f>
        <v>Miles Kelly - Birds</v>
      </c>
      <c r="K346" s="217"/>
    </row>
    <row r="347" spans="1:11" s="219" customFormat="1" hidden="1">
      <c r="A347" s="218" t="s">
        <v>309</v>
      </c>
      <c r="B347" s="218" t="s">
        <v>41</v>
      </c>
      <c r="C347" s="215">
        <v>988100559</v>
      </c>
      <c r="D347" s="164" t="s">
        <v>513</v>
      </c>
      <c r="E347" s="216"/>
      <c r="G347" s="214" t="str">
        <f>Table18[[#This Row],[KATEGORI]]</f>
        <v>BUKU</v>
      </c>
      <c r="H347" s="214" t="str">
        <f>Table18[[#This Row],[TYPE]]</f>
        <v>CONSIGNMENT</v>
      </c>
      <c r="I347" s="215">
        <f>Table18[[#This Row],[ITEM CODE]]</f>
        <v>988100559</v>
      </c>
      <c r="J347" s="215" t="str">
        <f>Table18[[#This Row],[ITEM NAME]]</f>
        <v>Miles Kelly - Dogs and Puppies</v>
      </c>
      <c r="K347" s="217"/>
    </row>
    <row r="348" spans="1:11" s="219" customFormat="1" hidden="1">
      <c r="A348" s="218" t="s">
        <v>309</v>
      </c>
      <c r="B348" s="218" t="s">
        <v>41</v>
      </c>
      <c r="C348" s="215">
        <v>988100560</v>
      </c>
      <c r="D348" s="164" t="s">
        <v>514</v>
      </c>
      <c r="E348" s="216"/>
      <c r="G348" s="214" t="str">
        <f>Table18[[#This Row],[KATEGORI]]</f>
        <v>BUKU</v>
      </c>
      <c r="H348" s="214" t="str">
        <f>Table18[[#This Row],[TYPE]]</f>
        <v>CONSIGNMENT</v>
      </c>
      <c r="I348" s="215">
        <f>Table18[[#This Row],[ITEM CODE]]</f>
        <v>988100560</v>
      </c>
      <c r="J348" s="215" t="str">
        <f>Table18[[#This Row],[ITEM NAME]]</f>
        <v>Miles Kelly - Prehistoric Life</v>
      </c>
      <c r="K348" s="217"/>
    </row>
    <row r="349" spans="1:11" s="219" customFormat="1" hidden="1">
      <c r="A349" s="218" t="s">
        <v>309</v>
      </c>
      <c r="B349" s="218" t="s">
        <v>41</v>
      </c>
      <c r="C349" s="215">
        <v>988100561</v>
      </c>
      <c r="D349" s="164" t="s">
        <v>524</v>
      </c>
      <c r="E349" s="216"/>
      <c r="G349" s="214" t="str">
        <f>Table18[[#This Row],[KATEGORI]]</f>
        <v>BUKU</v>
      </c>
      <c r="H349" s="214" t="str">
        <f>Table18[[#This Row],[TYPE]]</f>
        <v>CONSIGNMENT</v>
      </c>
      <c r="I349" s="215">
        <f>Table18[[#This Row],[ITEM CODE]]</f>
        <v>988100561</v>
      </c>
      <c r="J349" s="215" t="str">
        <f>Table18[[#This Row],[ITEM NAME]]</f>
        <v>Miles Kelly - Birds of Prey</v>
      </c>
      <c r="K349" s="217"/>
    </row>
    <row r="350" spans="1:11" s="219" customFormat="1" hidden="1">
      <c r="A350" s="218" t="s">
        <v>309</v>
      </c>
      <c r="B350" s="218" t="s">
        <v>41</v>
      </c>
      <c r="C350" s="215">
        <v>988100562</v>
      </c>
      <c r="D350" s="164" t="s">
        <v>525</v>
      </c>
      <c r="E350" s="216"/>
      <c r="G350" s="214" t="str">
        <f>Table18[[#This Row],[KATEGORI]]</f>
        <v>BUKU</v>
      </c>
      <c r="H350" s="214" t="str">
        <f>Table18[[#This Row],[TYPE]]</f>
        <v>CONSIGNMENT</v>
      </c>
      <c r="I350" s="215">
        <f>Table18[[#This Row],[ITEM CODE]]</f>
        <v>988100562</v>
      </c>
      <c r="J350" s="215" t="str">
        <f>Table18[[#This Row],[ITEM NAME]]</f>
        <v>Miles Kelly - Elephants</v>
      </c>
      <c r="K350" s="217"/>
    </row>
    <row r="351" spans="1:11" s="219" customFormat="1" hidden="1">
      <c r="A351" s="218" t="s">
        <v>309</v>
      </c>
      <c r="B351" s="218" t="s">
        <v>41</v>
      </c>
      <c r="C351" s="215">
        <v>988100563</v>
      </c>
      <c r="D351" s="164" t="s">
        <v>515</v>
      </c>
      <c r="E351" s="216"/>
      <c r="G351" s="214" t="str">
        <f>Table18[[#This Row],[KATEGORI]]</f>
        <v>BUKU</v>
      </c>
      <c r="H351" s="214" t="str">
        <f>Table18[[#This Row],[TYPE]]</f>
        <v>CONSIGNMENT</v>
      </c>
      <c r="I351" s="215">
        <f>Table18[[#This Row],[ITEM CODE]]</f>
        <v>988100563</v>
      </c>
      <c r="J351" s="215" t="str">
        <f>Table18[[#This Row],[ITEM NAME]]</f>
        <v>Miles Kelly - Bears</v>
      </c>
      <c r="K351" s="217"/>
    </row>
    <row r="352" spans="1:11" s="219" customFormat="1" hidden="1">
      <c r="A352" s="218" t="s">
        <v>6</v>
      </c>
      <c r="B352" s="218" t="s">
        <v>7</v>
      </c>
      <c r="C352" s="215">
        <v>988100546</v>
      </c>
      <c r="D352" s="234" t="s">
        <v>502</v>
      </c>
      <c r="E352" s="216"/>
      <c r="G352" s="214" t="str">
        <f>Table18[[#This Row],[KATEGORI]]</f>
        <v>MINUMAN</v>
      </c>
      <c r="H352" s="214" t="str">
        <f>Table18[[#This Row],[TYPE]]</f>
        <v>RETAIL</v>
      </c>
      <c r="I352" s="215">
        <f>Table18[[#This Row],[ITEM CODE]]</f>
        <v>988100546</v>
      </c>
      <c r="J352" s="215" t="str">
        <f>Table18[[#This Row],[ITEM NAME]]</f>
        <v>NUTRIVILLE LYCHEE 250ML</v>
      </c>
      <c r="K352" s="217"/>
    </row>
    <row r="353" spans="1:11" s="219" customFormat="1" hidden="1">
      <c r="A353" s="218" t="s">
        <v>6</v>
      </c>
      <c r="B353" s="218" t="s">
        <v>7</v>
      </c>
      <c r="C353" s="220">
        <v>988100547</v>
      </c>
      <c r="D353" s="235" t="s">
        <v>503</v>
      </c>
      <c r="E353" s="216"/>
      <c r="G353" s="214" t="str">
        <f>Table18[[#This Row],[KATEGORI]]</f>
        <v>MINUMAN</v>
      </c>
      <c r="H353" s="214" t="str">
        <f>Table18[[#This Row],[TYPE]]</f>
        <v>RETAIL</v>
      </c>
      <c r="I353" s="215">
        <f>Table18[[#This Row],[ITEM CODE]]</f>
        <v>988100547</v>
      </c>
      <c r="J353" s="215" t="str">
        <f>Table18[[#This Row],[ITEM NAME]]</f>
        <v>NUTRIVILLE ANGGUR 250ML</v>
      </c>
      <c r="K353" s="217"/>
    </row>
    <row r="354" spans="1:11" s="219" customFormat="1" hidden="1">
      <c r="A354" s="218" t="s">
        <v>25</v>
      </c>
      <c r="B354" s="218" t="s">
        <v>7</v>
      </c>
      <c r="C354" s="227">
        <v>200259</v>
      </c>
      <c r="D354" s="228" t="s">
        <v>495</v>
      </c>
      <c r="E354" s="216"/>
      <c r="G354" s="214" t="str">
        <f>Table18[[#This Row],[KATEGORI]]</f>
        <v>SNACK</v>
      </c>
      <c r="H354" s="214" t="str">
        <f>Table18[[#This Row],[TYPE]]</f>
        <v>RETAIL</v>
      </c>
      <c r="I354" s="215">
        <f>Table18[[#This Row],[ITEM CODE]]</f>
        <v>200259</v>
      </c>
      <c r="J354" s="215" t="str">
        <f>Table18[[#This Row],[ITEM NAME]]</f>
        <v>CHITATO CHIC SPICY 35GR</v>
      </c>
      <c r="K354" s="217"/>
    </row>
    <row r="355" spans="1:11" s="219" customFormat="1">
      <c r="A355" s="218" t="s">
        <v>89</v>
      </c>
      <c r="B355" s="218" t="s">
        <v>7</v>
      </c>
      <c r="C355" s="107">
        <v>988100474</v>
      </c>
      <c r="D355" s="220" t="s">
        <v>101</v>
      </c>
      <c r="E355" s="216">
        <v>7</v>
      </c>
      <c r="G355" s="214" t="str">
        <f>Table18[[#This Row],[KATEGORI]]</f>
        <v>ES KRIM</v>
      </c>
      <c r="H355" s="214" t="str">
        <f>Table18[[#This Row],[TYPE]]</f>
        <v>RETAIL</v>
      </c>
      <c r="I355" s="215">
        <f>Table18[[#This Row],[ITEM CODE]]</f>
        <v>988100474</v>
      </c>
      <c r="J355" s="215" t="str">
        <f>Table18[[#This Row],[ITEM NAME]]</f>
        <v>GLC HAKU MONAKA DOUBLE CHOCO 100ML</v>
      </c>
      <c r="K355" s="217"/>
    </row>
    <row r="356" spans="1:11" s="219" customFormat="1">
      <c r="A356" s="218" t="s">
        <v>25</v>
      </c>
      <c r="B356" s="218" t="s">
        <v>7</v>
      </c>
      <c r="C356" s="215">
        <v>988100572</v>
      </c>
      <c r="D356" s="228" t="s">
        <v>30</v>
      </c>
      <c r="E356" s="216">
        <v>44</v>
      </c>
      <c r="G356" s="214" t="str">
        <f>Table18[[#This Row],[KATEGORI]]</f>
        <v>SNACK</v>
      </c>
      <c r="H356" s="214" t="str">
        <f>Table18[[#This Row],[TYPE]]</f>
        <v>RETAIL</v>
      </c>
      <c r="I356" s="215">
        <f>Table18[[#This Row],[ITEM CODE]]</f>
        <v>988100572</v>
      </c>
      <c r="J356" s="215" t="str">
        <f>Table18[[#This Row],[ITEM NAME]]</f>
        <v>CHIKI BALL COKLAT 16gr</v>
      </c>
      <c r="K356" s="217"/>
    </row>
    <row r="357" spans="1:11" s="219" customFormat="1" hidden="1">
      <c r="A357" s="218" t="s">
        <v>25</v>
      </c>
      <c r="B357" s="218" t="s">
        <v>7</v>
      </c>
      <c r="C357" s="215">
        <v>988100534</v>
      </c>
      <c r="D357" s="222" t="s">
        <v>504</v>
      </c>
      <c r="E357" s="216"/>
      <c r="G357" s="214" t="str">
        <f>Table18[[#This Row],[KATEGORI]]</f>
        <v>SNACK</v>
      </c>
      <c r="H357" s="214" t="str">
        <f>Table18[[#This Row],[TYPE]]</f>
        <v>RETAIL</v>
      </c>
      <c r="I357" s="215">
        <f>Table18[[#This Row],[ITEM CODE]]</f>
        <v>988100534</v>
      </c>
      <c r="J357" s="215" t="str">
        <f>Table18[[#This Row],[ITEM NAME]]</f>
        <v>CHITATO MAXX SPICY CHIKEN 55GR</v>
      </c>
      <c r="K357" s="217"/>
    </row>
    <row r="358" spans="1:11" s="219" customFormat="1">
      <c r="A358" s="218" t="s">
        <v>124</v>
      </c>
      <c r="B358" s="218" t="s">
        <v>41</v>
      </c>
      <c r="C358" s="215">
        <v>988100578</v>
      </c>
      <c r="D358" s="164" t="s">
        <v>125</v>
      </c>
      <c r="E358" s="216">
        <v>21</v>
      </c>
      <c r="G358" s="214" t="str">
        <f>Table18[[#This Row],[KATEGORI]]</f>
        <v>PERSONAL CARE</v>
      </c>
      <c r="H358" s="214" t="str">
        <f>Table18[[#This Row],[TYPE]]</f>
        <v>CONSIGNMENT</v>
      </c>
      <c r="I358" s="215">
        <f>Table18[[#This Row],[ITEM CODE]]</f>
        <v>988100578</v>
      </c>
      <c r="J358" s="215" t="str">
        <f>Table18[[#This Row],[ITEM NAME]]</f>
        <v>YUNIKON ANTIBACTERAL BABY WIPES '50S</v>
      </c>
      <c r="K358" s="217"/>
    </row>
    <row r="359" spans="1:11" s="219" customFormat="1">
      <c r="A359" s="218" t="s">
        <v>124</v>
      </c>
      <c r="B359" s="218" t="s">
        <v>41</v>
      </c>
      <c r="C359" s="215">
        <v>988100579</v>
      </c>
      <c r="D359" s="164" t="s">
        <v>127</v>
      </c>
      <c r="E359" s="216">
        <v>37</v>
      </c>
      <c r="G359" s="214" t="str">
        <f>Table18[[#This Row],[KATEGORI]]</f>
        <v>PERSONAL CARE</v>
      </c>
      <c r="H359" s="214" t="str">
        <f>Table18[[#This Row],[TYPE]]</f>
        <v>CONSIGNMENT</v>
      </c>
      <c r="I359" s="215">
        <f>Table18[[#This Row],[ITEM CODE]]</f>
        <v>988100579</v>
      </c>
      <c r="J359" s="215" t="str">
        <f>Table18[[#This Row],[ITEM NAME]]</f>
        <v>YUNIKON DIAPER CHANGE BABY WIPES '50S</v>
      </c>
      <c r="K359" s="217"/>
    </row>
    <row r="360" spans="1:11" s="219" customFormat="1">
      <c r="A360" s="218" t="s">
        <v>124</v>
      </c>
      <c r="B360" s="218" t="s">
        <v>41</v>
      </c>
      <c r="C360" s="215">
        <v>988100580</v>
      </c>
      <c r="D360" s="164" t="s">
        <v>129</v>
      </c>
      <c r="E360" s="216">
        <v>11</v>
      </c>
      <c r="G360" s="214" t="str">
        <f>Table18[[#This Row],[KATEGORI]]</f>
        <v>PERSONAL CARE</v>
      </c>
      <c r="H360" s="214" t="str">
        <f>Table18[[#This Row],[TYPE]]</f>
        <v>CONSIGNMENT</v>
      </c>
      <c r="I360" s="215">
        <f>Table18[[#This Row],[ITEM CODE]]</f>
        <v>988100580</v>
      </c>
      <c r="J360" s="215" t="str">
        <f>Table18[[#This Row],[ITEM NAME]]</f>
        <v>YUNIKON HAND and MOUTH BABY WIPES '50S</v>
      </c>
      <c r="K360" s="217"/>
    </row>
    <row r="361" spans="1:11" s="219" customFormat="1">
      <c r="A361" s="218" t="s">
        <v>124</v>
      </c>
      <c r="B361" s="218" t="s">
        <v>41</v>
      </c>
      <c r="C361" s="215">
        <v>988100581</v>
      </c>
      <c r="D361" s="164" t="s">
        <v>131</v>
      </c>
      <c r="E361" s="216">
        <v>25</v>
      </c>
      <c r="G361" s="214" t="str">
        <f>Table18[[#This Row],[KATEGORI]]</f>
        <v>PERSONAL CARE</v>
      </c>
      <c r="H361" s="214" t="str">
        <f>Table18[[#This Row],[TYPE]]</f>
        <v>CONSIGNMENT</v>
      </c>
      <c r="I361" s="215">
        <f>Table18[[#This Row],[ITEM CODE]]</f>
        <v>988100581</v>
      </c>
      <c r="J361" s="215" t="str">
        <f>Table18[[#This Row],[ITEM NAME]]</f>
        <v>YUNIKON UNCENTED BABY WIPES '50S</v>
      </c>
      <c r="K361" s="217"/>
    </row>
    <row r="362" spans="1:11" s="219" customFormat="1">
      <c r="A362" s="218" t="s">
        <v>124</v>
      </c>
      <c r="B362" s="218" t="s">
        <v>41</v>
      </c>
      <c r="C362" s="215">
        <v>988100582</v>
      </c>
      <c r="D362" s="164" t="s">
        <v>133</v>
      </c>
      <c r="E362" s="216">
        <v>38</v>
      </c>
      <c r="G362" s="214" t="str">
        <f>Table18[[#This Row],[KATEGORI]]</f>
        <v>PERSONAL CARE</v>
      </c>
      <c r="H362" s="214" t="str">
        <f>Table18[[#This Row],[TYPE]]</f>
        <v>CONSIGNMENT</v>
      </c>
      <c r="I362" s="215">
        <f>Table18[[#This Row],[ITEM CODE]]</f>
        <v>988100582</v>
      </c>
      <c r="J362" s="215" t="str">
        <f>Table18[[#This Row],[ITEM NAME]]</f>
        <v>YUNIKON ANTIBACTERAL BABY WIPES '20S</v>
      </c>
      <c r="K362" s="217"/>
    </row>
    <row r="363" spans="1:11" s="219" customFormat="1">
      <c r="A363" s="218" t="s">
        <v>124</v>
      </c>
      <c r="B363" s="218" t="s">
        <v>41</v>
      </c>
      <c r="C363" s="215">
        <v>988100583</v>
      </c>
      <c r="D363" s="164" t="s">
        <v>134</v>
      </c>
      <c r="E363" s="216">
        <v>41</v>
      </c>
      <c r="G363" s="214" t="str">
        <f>Table18[[#This Row],[KATEGORI]]</f>
        <v>PERSONAL CARE</v>
      </c>
      <c r="H363" s="214" t="str">
        <f>Table18[[#This Row],[TYPE]]</f>
        <v>CONSIGNMENT</v>
      </c>
      <c r="I363" s="215">
        <f>Table18[[#This Row],[ITEM CODE]]</f>
        <v>988100583</v>
      </c>
      <c r="J363" s="215" t="str">
        <f>Table18[[#This Row],[ITEM NAME]]</f>
        <v>YUNIKON DIAPER CHANGE BABY WIPES '20S</v>
      </c>
      <c r="K363" s="217"/>
    </row>
    <row r="364" spans="1:11" s="219" customFormat="1">
      <c r="A364" s="218" t="s">
        <v>124</v>
      </c>
      <c r="B364" s="218" t="s">
        <v>41</v>
      </c>
      <c r="C364" s="215">
        <v>988100584</v>
      </c>
      <c r="D364" s="164" t="s">
        <v>135</v>
      </c>
      <c r="E364" s="216">
        <v>34</v>
      </c>
      <c r="G364" s="214" t="str">
        <f>Table18[[#This Row],[KATEGORI]]</f>
        <v>PERSONAL CARE</v>
      </c>
      <c r="H364" s="214" t="str">
        <f>Table18[[#This Row],[TYPE]]</f>
        <v>CONSIGNMENT</v>
      </c>
      <c r="I364" s="215">
        <f>Table18[[#This Row],[ITEM CODE]]</f>
        <v>988100584</v>
      </c>
      <c r="J364" s="215" t="str">
        <f>Table18[[#This Row],[ITEM NAME]]</f>
        <v>YUNIKON HAND and MOUTH BABY WIPES '20S</v>
      </c>
      <c r="K364" s="217"/>
    </row>
    <row r="365" spans="1:11" s="219" customFormat="1">
      <c r="A365" s="218" t="s">
        <v>124</v>
      </c>
      <c r="B365" s="218" t="s">
        <v>41</v>
      </c>
      <c r="C365" s="215">
        <v>988100585</v>
      </c>
      <c r="D365" s="164" t="s">
        <v>136</v>
      </c>
      <c r="E365" s="216">
        <v>43</v>
      </c>
      <c r="G365" s="214" t="str">
        <f>Table18[[#This Row],[KATEGORI]]</f>
        <v>PERSONAL CARE</v>
      </c>
      <c r="H365" s="214" t="str">
        <f>Table18[[#This Row],[TYPE]]</f>
        <v>CONSIGNMENT</v>
      </c>
      <c r="I365" s="215">
        <f>Table18[[#This Row],[ITEM CODE]]</f>
        <v>988100585</v>
      </c>
      <c r="J365" s="215" t="str">
        <f>Table18[[#This Row],[ITEM NAME]]</f>
        <v>YUNIKON UNCENTED BABY WIPES '20S</v>
      </c>
      <c r="K365" s="217"/>
    </row>
    <row r="366" spans="1:11" s="219" customFormat="1" hidden="1">
      <c r="A366" s="218" t="s">
        <v>124</v>
      </c>
      <c r="B366" s="218" t="s">
        <v>41</v>
      </c>
      <c r="C366" s="215">
        <v>988100586</v>
      </c>
      <c r="D366" s="164" t="s">
        <v>526</v>
      </c>
      <c r="E366" s="216"/>
      <c r="G366" s="214" t="str">
        <f>Table18[[#This Row],[KATEGORI]]</f>
        <v>PERSONAL CARE</v>
      </c>
      <c r="H366" s="214" t="str">
        <f>Table18[[#This Row],[TYPE]]</f>
        <v>CONSIGNMENT</v>
      </c>
      <c r="I366" s="215">
        <f>Table18[[#This Row],[ITEM CODE]]</f>
        <v>988100586</v>
      </c>
      <c r="J366" s="215" t="str">
        <f>Table18[[#This Row],[ITEM NAME]]</f>
        <v xml:space="preserve">YUNIKON TOILET LEMON SPRAY 60ML </v>
      </c>
      <c r="K366" s="217"/>
    </row>
    <row r="367" spans="1:11" s="219" customFormat="1" hidden="1">
      <c r="A367" s="218" t="s">
        <v>124</v>
      </c>
      <c r="B367" s="218" t="s">
        <v>7</v>
      </c>
      <c r="C367" s="215">
        <v>988100587</v>
      </c>
      <c r="D367" s="164" t="s">
        <v>137</v>
      </c>
      <c r="E367" s="216"/>
      <c r="G367" s="214" t="str">
        <f>Table18[[#This Row],[KATEGORI]]</f>
        <v>PERSONAL CARE</v>
      </c>
      <c r="H367" s="214" t="str">
        <f>Table18[[#This Row],[TYPE]]</f>
        <v>RETAIL</v>
      </c>
      <c r="I367" s="215">
        <f>Table18[[#This Row],[ITEM CODE]]</f>
        <v>988100587</v>
      </c>
      <c r="J367" s="215" t="str">
        <f>Table18[[#This Row],[ITEM NAME]]</f>
        <v xml:space="preserve">YUNIKON HAND WASH BLUE 500ML </v>
      </c>
      <c r="K367" s="217"/>
    </row>
    <row r="368" spans="1:11" s="219" customFormat="1" hidden="1">
      <c r="A368" s="218" t="s">
        <v>124</v>
      </c>
      <c r="B368" s="218" t="s">
        <v>7</v>
      </c>
      <c r="C368" s="215">
        <v>988100588</v>
      </c>
      <c r="D368" s="164" t="s">
        <v>138</v>
      </c>
      <c r="E368" s="216"/>
      <c r="G368" s="214" t="str">
        <f>Table18[[#This Row],[KATEGORI]]</f>
        <v>PERSONAL CARE</v>
      </c>
      <c r="H368" s="214" t="str">
        <f>Table18[[#This Row],[TYPE]]</f>
        <v>RETAIL</v>
      </c>
      <c r="I368" s="215">
        <f>Table18[[#This Row],[ITEM CODE]]</f>
        <v>988100588</v>
      </c>
      <c r="J368" s="215" t="str">
        <f>Table18[[#This Row],[ITEM NAME]]</f>
        <v xml:space="preserve">YUNIKON HAND WASH GREEN 500ML </v>
      </c>
      <c r="K368" s="217"/>
    </row>
    <row r="369" spans="1:11" s="219" customFormat="1" hidden="1">
      <c r="A369" s="218" t="s">
        <v>124</v>
      </c>
      <c r="B369" s="218" t="s">
        <v>7</v>
      </c>
      <c r="C369" s="215">
        <v>988100589</v>
      </c>
      <c r="D369" s="164" t="s">
        <v>139</v>
      </c>
      <c r="E369" s="216"/>
      <c r="G369" s="214" t="str">
        <f>Table18[[#This Row],[KATEGORI]]</f>
        <v>PERSONAL CARE</v>
      </c>
      <c r="H369" s="214" t="str">
        <f>Table18[[#This Row],[TYPE]]</f>
        <v>RETAIL</v>
      </c>
      <c r="I369" s="215">
        <f>Table18[[#This Row],[ITEM CODE]]</f>
        <v>988100589</v>
      </c>
      <c r="J369" s="215" t="str">
        <f>Table18[[#This Row],[ITEM NAME]]</f>
        <v xml:space="preserve">YUNIKON HAND WASH PINK 500ML </v>
      </c>
      <c r="K369" s="217"/>
    </row>
    <row r="370" spans="1:11" s="219" customFormat="1" hidden="1">
      <c r="A370" s="218" t="s">
        <v>124</v>
      </c>
      <c r="B370" s="218" t="s">
        <v>7</v>
      </c>
      <c r="C370" s="215">
        <v>988100590</v>
      </c>
      <c r="D370" s="164" t="s">
        <v>140</v>
      </c>
      <c r="E370" s="216"/>
      <c r="G370" s="214" t="str">
        <f>Table18[[#This Row],[KATEGORI]]</f>
        <v>PERSONAL CARE</v>
      </c>
      <c r="H370" s="214" t="str">
        <f>Table18[[#This Row],[TYPE]]</f>
        <v>RETAIL</v>
      </c>
      <c r="I370" s="215">
        <f>Table18[[#This Row],[ITEM CODE]]</f>
        <v>988100590</v>
      </c>
      <c r="J370" s="215" t="str">
        <f>Table18[[#This Row],[ITEM NAME]]</f>
        <v xml:space="preserve">YUNIKON HAND WASH PURPLE 500ML </v>
      </c>
      <c r="K370" s="217"/>
    </row>
    <row r="371" spans="1:11" s="219" customFormat="1" hidden="1">
      <c r="A371" s="218" t="s">
        <v>124</v>
      </c>
      <c r="B371" s="218" t="s">
        <v>7</v>
      </c>
      <c r="C371" s="215">
        <v>988100591</v>
      </c>
      <c r="D371" s="164" t="s">
        <v>141</v>
      </c>
      <c r="E371" s="216"/>
      <c r="G371" s="214" t="str">
        <f>Table18[[#This Row],[KATEGORI]]</f>
        <v>PERSONAL CARE</v>
      </c>
      <c r="H371" s="214" t="str">
        <f>Table18[[#This Row],[TYPE]]</f>
        <v>RETAIL</v>
      </c>
      <c r="I371" s="215">
        <f>Table18[[#This Row],[ITEM CODE]]</f>
        <v>988100591</v>
      </c>
      <c r="J371" s="215" t="str">
        <f>Table18[[#This Row],[ITEM NAME]]</f>
        <v>YUNIKON BABY COLOGNE BLUE '60ML</v>
      </c>
      <c r="K371" s="217"/>
    </row>
    <row r="372" spans="1:11" s="219" customFormat="1" hidden="1">
      <c r="A372" s="218" t="s">
        <v>124</v>
      </c>
      <c r="B372" s="218" t="s">
        <v>7</v>
      </c>
      <c r="C372" s="215">
        <v>988100592</v>
      </c>
      <c r="D372" s="164" t="s">
        <v>142</v>
      </c>
      <c r="E372" s="216"/>
      <c r="G372" s="214" t="str">
        <f>Table18[[#This Row],[KATEGORI]]</f>
        <v>PERSONAL CARE</v>
      </c>
      <c r="H372" s="214" t="str">
        <f>Table18[[#This Row],[TYPE]]</f>
        <v>RETAIL</v>
      </c>
      <c r="I372" s="215">
        <f>Table18[[#This Row],[ITEM CODE]]</f>
        <v>988100592</v>
      </c>
      <c r="J372" s="215" t="str">
        <f>Table18[[#This Row],[ITEM NAME]]</f>
        <v>YUNIKON BABY COLOGNE GREEN '60ML</v>
      </c>
      <c r="K372" s="217"/>
    </row>
    <row r="373" spans="1:11" s="219" customFormat="1" hidden="1">
      <c r="A373" s="218" t="s">
        <v>124</v>
      </c>
      <c r="B373" s="218" t="s">
        <v>7</v>
      </c>
      <c r="C373" s="215">
        <v>988100593</v>
      </c>
      <c r="D373" s="164" t="s">
        <v>143</v>
      </c>
      <c r="E373" s="216"/>
      <c r="G373" s="214" t="str">
        <f>Table18[[#This Row],[KATEGORI]]</f>
        <v>PERSONAL CARE</v>
      </c>
      <c r="H373" s="214" t="str">
        <f>Table18[[#This Row],[TYPE]]</f>
        <v>RETAIL</v>
      </c>
      <c r="I373" s="215">
        <f>Table18[[#This Row],[ITEM CODE]]</f>
        <v>988100593</v>
      </c>
      <c r="J373" s="215" t="str">
        <f>Table18[[#This Row],[ITEM NAME]]</f>
        <v>YUNIKON BABY COLOGNE PEACH '60ML</v>
      </c>
      <c r="K373" s="217"/>
    </row>
    <row r="374" spans="1:11" s="219" customFormat="1" hidden="1">
      <c r="A374" s="218" t="s">
        <v>124</v>
      </c>
      <c r="B374" s="218" t="s">
        <v>7</v>
      </c>
      <c r="C374" s="215">
        <v>988100594</v>
      </c>
      <c r="D374" s="164" t="s">
        <v>144</v>
      </c>
      <c r="E374" s="216"/>
      <c r="G374" s="214" t="str">
        <f>Table18[[#This Row],[KATEGORI]]</f>
        <v>PERSONAL CARE</v>
      </c>
      <c r="H374" s="214" t="str">
        <f>Table18[[#This Row],[TYPE]]</f>
        <v>RETAIL</v>
      </c>
      <c r="I374" s="215">
        <f>Table18[[#This Row],[ITEM CODE]]</f>
        <v>988100594</v>
      </c>
      <c r="J374" s="215" t="str">
        <f>Table18[[#This Row],[ITEM NAME]]</f>
        <v>YUNIKON HAND SANITIZER GREEN '30ML</v>
      </c>
      <c r="K374" s="217"/>
    </row>
    <row r="375" spans="1:11" s="219" customFormat="1" hidden="1">
      <c r="A375" s="218" t="s">
        <v>124</v>
      </c>
      <c r="B375" s="218" t="s">
        <v>7</v>
      </c>
      <c r="C375" s="215">
        <v>988100595</v>
      </c>
      <c r="D375" s="164" t="s">
        <v>145</v>
      </c>
      <c r="E375" s="216"/>
      <c r="G375" s="214" t="str">
        <f>Table18[[#This Row],[KATEGORI]]</f>
        <v>PERSONAL CARE</v>
      </c>
      <c r="H375" s="214" t="str">
        <f>Table18[[#This Row],[TYPE]]</f>
        <v>RETAIL</v>
      </c>
      <c r="I375" s="215">
        <f>Table18[[#This Row],[ITEM CODE]]</f>
        <v>988100595</v>
      </c>
      <c r="J375" s="215" t="str">
        <f>Table18[[#This Row],[ITEM NAME]]</f>
        <v>YUNIKON HAND SANITIZER PINK '30ML</v>
      </c>
      <c r="K375" s="217"/>
    </row>
    <row r="376" spans="1:11" s="219" customFormat="1" hidden="1">
      <c r="A376" s="218" t="s">
        <v>124</v>
      </c>
      <c r="B376" s="218" t="s">
        <v>7</v>
      </c>
      <c r="C376" s="215">
        <v>988100596</v>
      </c>
      <c r="D376" s="164" t="s">
        <v>146</v>
      </c>
      <c r="E376" s="216"/>
      <c r="G376" s="214" t="str">
        <f>Table18[[#This Row],[KATEGORI]]</f>
        <v>PERSONAL CARE</v>
      </c>
      <c r="H376" s="214" t="str">
        <f>Table18[[#This Row],[TYPE]]</f>
        <v>RETAIL</v>
      </c>
      <c r="I376" s="215">
        <f>Table18[[#This Row],[ITEM CODE]]</f>
        <v>988100596</v>
      </c>
      <c r="J376" s="215" t="str">
        <f>Table18[[#This Row],[ITEM NAME]]</f>
        <v>YUNIKON HAND SANITIZER PURPLE '30ML</v>
      </c>
      <c r="K376" s="217"/>
    </row>
    <row r="377" spans="1:11" s="219" customFormat="1">
      <c r="A377" s="218" t="s">
        <v>40</v>
      </c>
      <c r="B377" s="218" t="s">
        <v>7</v>
      </c>
      <c r="C377" s="215">
        <v>988100570</v>
      </c>
      <c r="D377" s="228" t="s">
        <v>53</v>
      </c>
      <c r="E377" s="216">
        <v>15</v>
      </c>
      <c r="G377" s="214" t="str">
        <f>Table18[[#This Row],[KATEGORI]]</f>
        <v>ACCS MOBIL</v>
      </c>
      <c r="H377" s="214" t="str">
        <f>Table18[[#This Row],[TYPE]]</f>
        <v>RETAIL</v>
      </c>
      <c r="I377" s="215">
        <f>Table18[[#This Row],[ITEM CODE]]</f>
        <v>988100570</v>
      </c>
      <c r="J377" s="215" t="str">
        <f>Table18[[#This Row],[ITEM NAME]]</f>
        <v>CUBE CR BUBBLE GUM</v>
      </c>
      <c r="K377" s="217"/>
    </row>
    <row r="378" spans="1:11" s="219" customFormat="1" hidden="1">
      <c r="A378" s="218" t="s">
        <v>6</v>
      </c>
      <c r="B378" s="218" t="s">
        <v>7</v>
      </c>
      <c r="C378" s="215">
        <v>988100462</v>
      </c>
      <c r="D378" s="222" t="s">
        <v>448</v>
      </c>
      <c r="E378" s="216"/>
      <c r="G378" s="214" t="str">
        <f>Table18[[#This Row],[KATEGORI]]</f>
        <v>MINUMAN</v>
      </c>
      <c r="H378" s="214" t="str">
        <f>Table18[[#This Row],[TYPE]]</f>
        <v>RETAIL</v>
      </c>
      <c r="I378" s="215">
        <f>Table18[[#This Row],[ITEM CODE]]</f>
        <v>988100462</v>
      </c>
      <c r="J378" s="215" t="str">
        <f>Table18[[#This Row],[ITEM NAME]]</f>
        <v>HI C 1000 LEMON 140ML</v>
      </c>
      <c r="K378" s="217"/>
    </row>
    <row r="379" spans="1:11" s="219" customFormat="1" hidden="1">
      <c r="A379" s="218" t="s">
        <v>6</v>
      </c>
      <c r="B379" s="218" t="s">
        <v>7</v>
      </c>
      <c r="C379" s="215">
        <v>988100463</v>
      </c>
      <c r="D379" s="222" t="s">
        <v>449</v>
      </c>
      <c r="E379" s="216"/>
      <c r="G379" s="214" t="str">
        <f>Table18[[#This Row],[KATEGORI]]</f>
        <v>MINUMAN</v>
      </c>
      <c r="H379" s="214" t="str">
        <f>Table18[[#This Row],[TYPE]]</f>
        <v>RETAIL</v>
      </c>
      <c r="I379" s="215">
        <f>Table18[[#This Row],[ITEM CODE]]</f>
        <v>988100463</v>
      </c>
      <c r="J379" s="215" t="str">
        <f>Table18[[#This Row],[ITEM NAME]]</f>
        <v>HI C 1000 ORANGE 140ML</v>
      </c>
      <c r="K379" s="217"/>
    </row>
    <row r="380" spans="1:11" s="219" customFormat="1">
      <c r="A380" s="218" t="s">
        <v>25</v>
      </c>
      <c r="B380" s="218" t="s">
        <v>7</v>
      </c>
      <c r="C380" s="215">
        <v>988100569</v>
      </c>
      <c r="D380" s="228" t="s">
        <v>29</v>
      </c>
      <c r="E380" s="216">
        <v>44</v>
      </c>
      <c r="G380" s="214" t="str">
        <f>Table18[[#This Row],[KATEGORI]]</f>
        <v>SNACK</v>
      </c>
      <c r="H380" s="214" t="str">
        <f>Table18[[#This Row],[TYPE]]</f>
        <v>RETAIL</v>
      </c>
      <c r="I380" s="215">
        <f>Table18[[#This Row],[ITEM CODE]]</f>
        <v>988100569</v>
      </c>
      <c r="J380" s="215" t="str">
        <f>Table18[[#This Row],[ITEM NAME]]</f>
        <v>CHIKI BALL KEJU 16gr</v>
      </c>
      <c r="K380" s="217"/>
    </row>
    <row r="381" spans="1:11" s="219" customFormat="1">
      <c r="A381" s="218" t="s">
        <v>25</v>
      </c>
      <c r="B381" s="218" t="s">
        <v>41</v>
      </c>
      <c r="C381" s="215">
        <v>988100601</v>
      </c>
      <c r="D381" s="228" t="s">
        <v>71</v>
      </c>
      <c r="E381" s="216">
        <v>15</v>
      </c>
      <c r="G381" s="214" t="str">
        <f>Table18[[#This Row],[KATEGORI]]</f>
        <v>SNACK</v>
      </c>
      <c r="H381" s="214" t="str">
        <f>Table18[[#This Row],[TYPE]]</f>
        <v>CONSIGNMENT</v>
      </c>
      <c r="I381" s="215">
        <f>Table18[[#This Row],[ITEM CODE]]</f>
        <v>988100601</v>
      </c>
      <c r="J381" s="215" t="str">
        <f>Table18[[#This Row],[ITEM NAME]]</f>
        <v>MEDE GARLIC SACHET</v>
      </c>
      <c r="K381" s="217"/>
    </row>
    <row r="382" spans="1:11" s="219" customFormat="1">
      <c r="A382" s="218" t="s">
        <v>25</v>
      </c>
      <c r="B382" s="218" t="s">
        <v>41</v>
      </c>
      <c r="C382" s="215">
        <v>988100602</v>
      </c>
      <c r="D382" s="228" t="s">
        <v>73</v>
      </c>
      <c r="E382" s="216">
        <v>3</v>
      </c>
      <c r="G382" s="214" t="str">
        <f>Table18[[#This Row],[KATEGORI]]</f>
        <v>SNACK</v>
      </c>
      <c r="H382" s="214" t="str">
        <f>Table18[[#This Row],[TYPE]]</f>
        <v>CONSIGNMENT</v>
      </c>
      <c r="I382" s="215">
        <f>Table18[[#This Row],[ITEM CODE]]</f>
        <v>988100602</v>
      </c>
      <c r="J382" s="215" t="str">
        <f>Table18[[#This Row],[ITEM NAME]]</f>
        <v>MEDE GARLIC TOPLES</v>
      </c>
      <c r="K382" s="217"/>
    </row>
    <row r="383" spans="1:11" s="219" customFormat="1" hidden="1">
      <c r="A383" s="218" t="s">
        <v>25</v>
      </c>
      <c r="B383" s="218" t="s">
        <v>41</v>
      </c>
      <c r="C383" s="215">
        <v>988100605</v>
      </c>
      <c r="D383" s="164" t="s">
        <v>75</v>
      </c>
      <c r="E383" s="216"/>
      <c r="G383" s="214" t="str">
        <f>Table18[[#This Row],[KATEGORI]]</f>
        <v>SNACK</v>
      </c>
      <c r="H383" s="214" t="str">
        <f>Table18[[#This Row],[TYPE]]</f>
        <v>CONSIGNMENT</v>
      </c>
      <c r="I383" s="215">
        <f>Table18[[#This Row],[ITEM CODE]]</f>
        <v>988100605</v>
      </c>
      <c r="J383" s="215" t="str">
        <f>Table18[[#This Row],[ITEM NAME]]</f>
        <v>MEDE GARLIC SM(SUPER MINI)</v>
      </c>
      <c r="K383" s="217"/>
    </row>
    <row r="384" spans="1:11" s="219" customFormat="1" hidden="1">
      <c r="A384" s="218" t="s">
        <v>25</v>
      </c>
      <c r="B384" s="218" t="s">
        <v>41</v>
      </c>
      <c r="C384" s="215">
        <v>988100606</v>
      </c>
      <c r="D384" s="164" t="s">
        <v>77</v>
      </c>
      <c r="E384" s="216"/>
      <c r="G384" s="214" t="str">
        <f>Table18[[#This Row],[KATEGORI]]</f>
        <v>SNACK</v>
      </c>
      <c r="H384" s="214" t="str">
        <f>Table18[[#This Row],[TYPE]]</f>
        <v>CONSIGNMENT</v>
      </c>
      <c r="I384" s="215">
        <f>Table18[[#This Row],[ITEM CODE]]</f>
        <v>988100606</v>
      </c>
      <c r="J384" s="215" t="str">
        <f>Table18[[#This Row],[ITEM NAME]]</f>
        <v>MEDE GARLIC EX(EXTRA SMALL)</v>
      </c>
      <c r="K384" s="217"/>
    </row>
    <row r="385" spans="1:11" s="219" customFormat="1">
      <c r="A385" s="218" t="s">
        <v>25</v>
      </c>
      <c r="B385" s="218" t="s">
        <v>7</v>
      </c>
      <c r="C385" s="215">
        <v>988100611</v>
      </c>
      <c r="D385" s="164" t="s">
        <v>123</v>
      </c>
      <c r="E385" s="216">
        <v>7</v>
      </c>
      <c r="G385" s="214" t="str">
        <f>Table18[[#This Row],[KATEGORI]]</f>
        <v>SNACK</v>
      </c>
      <c r="H385" s="214" t="str">
        <f>Table18[[#This Row],[TYPE]]</f>
        <v>RETAIL</v>
      </c>
      <c r="I385" s="215">
        <f>Table18[[#This Row],[ITEM CODE]]</f>
        <v>988100611</v>
      </c>
      <c r="J385" s="215" t="str">
        <f>Table18[[#This Row],[ITEM NAME]]</f>
        <v>MAXICORN JAGUNG BAKAR 25GR</v>
      </c>
      <c r="K385" s="217"/>
    </row>
    <row r="386" spans="1:11" s="219" customFormat="1" hidden="1">
      <c r="A386" s="218" t="s">
        <v>25</v>
      </c>
      <c r="B386" s="218" t="s">
        <v>7</v>
      </c>
      <c r="C386" s="215">
        <v>988100616</v>
      </c>
      <c r="D386" s="100" t="s">
        <v>850</v>
      </c>
      <c r="E386" s="216"/>
      <c r="G386" s="214" t="str">
        <f>Table18[[#This Row],[KATEGORI]]</f>
        <v>SNACK</v>
      </c>
      <c r="H386" s="214" t="str">
        <f>Table18[[#This Row],[TYPE]]</f>
        <v>RETAIL</v>
      </c>
      <c r="I386" s="215">
        <f>Table18[[#This Row],[ITEM CODE]]</f>
        <v>988100616</v>
      </c>
      <c r="J386" s="215" t="str">
        <f>Table18[[#This Row],[ITEM NAME]]</f>
        <v>MAITOS TORTILLA CHIPS BBQ 55gr</v>
      </c>
      <c r="K386" s="217"/>
    </row>
    <row r="387" spans="1:11" s="219" customFormat="1">
      <c r="A387" s="218" t="s">
        <v>25</v>
      </c>
      <c r="B387" s="218" t="s">
        <v>7</v>
      </c>
      <c r="C387" s="215">
        <v>988100571</v>
      </c>
      <c r="D387" s="228" t="s">
        <v>31</v>
      </c>
      <c r="E387" s="216">
        <v>50</v>
      </c>
      <c r="G387" s="214" t="str">
        <f>Table18[[#This Row],[KATEGORI]]</f>
        <v>SNACK</v>
      </c>
      <c r="H387" s="214" t="str">
        <f>Table18[[#This Row],[TYPE]]</f>
        <v>RETAIL</v>
      </c>
      <c r="I387" s="215">
        <f>Table18[[#This Row],[ITEM CODE]]</f>
        <v>988100571</v>
      </c>
      <c r="J387" s="215" t="str">
        <f>Table18[[#This Row],[ITEM NAME]]</f>
        <v>CHIKI BALL AYAM 16gr</v>
      </c>
      <c r="K387" s="217"/>
    </row>
    <row r="388" spans="1:11" s="219" customFormat="1">
      <c r="A388" s="218" t="s">
        <v>89</v>
      </c>
      <c r="B388" s="218" t="s">
        <v>7</v>
      </c>
      <c r="C388" s="215">
        <v>988100600</v>
      </c>
      <c r="D388" s="228" t="s">
        <v>112</v>
      </c>
      <c r="E388" s="216">
        <v>39</v>
      </c>
      <c r="G388" s="214" t="str">
        <f>Table18[[#This Row],[KATEGORI]]</f>
        <v>ES KRIM</v>
      </c>
      <c r="H388" s="214" t="str">
        <f>Table18[[#This Row],[TYPE]]</f>
        <v>RETAIL</v>
      </c>
      <c r="I388" s="215">
        <f>Table18[[#This Row],[ITEM CODE]]</f>
        <v>988100600</v>
      </c>
      <c r="J388" s="215" t="str">
        <f>Table18[[#This Row],[ITEM NAME]]</f>
        <v>WAKU-WAKU CHOCO DINOSAUR 50ML</v>
      </c>
      <c r="K388" s="217"/>
    </row>
    <row r="389" spans="1:11" s="219" customFormat="1" hidden="1">
      <c r="A389" s="218" t="s">
        <v>25</v>
      </c>
      <c r="B389" s="218" t="s">
        <v>7</v>
      </c>
      <c r="C389" s="229">
        <v>200085</v>
      </c>
      <c r="D389" s="230" t="s">
        <v>520</v>
      </c>
      <c r="E389" s="216"/>
      <c r="G389" s="214" t="str">
        <f>Table18[[#This Row],[KATEGORI]]</f>
        <v>SNACK</v>
      </c>
      <c r="H389" s="214" t="str">
        <f>Table18[[#This Row],[TYPE]]</f>
        <v>RETAIL</v>
      </c>
      <c r="I389" s="215">
        <f>Table18[[#This Row],[ITEM CODE]]</f>
        <v>200085</v>
      </c>
      <c r="J389" s="215" t="str">
        <f>Table18[[#This Row],[ITEM NAME]]</f>
        <v>TARO 3D JUMPING CHEESE 40GR</v>
      </c>
      <c r="K389" s="217"/>
    </row>
    <row r="390" spans="1:11" s="219" customFormat="1" hidden="1">
      <c r="A390" s="218" t="s">
        <v>25</v>
      </c>
      <c r="B390" s="218" t="s">
        <v>7</v>
      </c>
      <c r="C390" s="229">
        <v>200227</v>
      </c>
      <c r="D390" s="230" t="s">
        <v>778</v>
      </c>
      <c r="E390" s="216"/>
      <c r="G390" s="214" t="str">
        <f>Table18[[#This Row],[KATEGORI]]</f>
        <v>SNACK</v>
      </c>
      <c r="H390" s="214" t="str">
        <f>Table18[[#This Row],[TYPE]]</f>
        <v>RETAIL</v>
      </c>
      <c r="I390" s="215">
        <f>Table18[[#This Row],[ITEM CODE]]</f>
        <v>200227</v>
      </c>
      <c r="J390" s="215" t="str">
        <f>Table18[[#This Row],[ITEM NAME]]</f>
        <v>TARO ITALIAN PIZZA 40GR</v>
      </c>
      <c r="K390" s="217"/>
    </row>
    <row r="391" spans="1:11" s="219" customFormat="1" hidden="1">
      <c r="A391" s="218" t="s">
        <v>25</v>
      </c>
      <c r="B391" s="218" t="s">
        <v>7</v>
      </c>
      <c r="C391" s="215">
        <v>988100614</v>
      </c>
      <c r="D391" s="164" t="s">
        <v>534</v>
      </c>
      <c r="E391" s="216"/>
      <c r="G391" s="214" t="str">
        <f>Table18[[#This Row],[KATEGORI]]</f>
        <v>SNACK</v>
      </c>
      <c r="H391" s="214" t="str">
        <f>Table18[[#This Row],[TYPE]]</f>
        <v>RETAIL</v>
      </c>
      <c r="I391" s="215">
        <f>Table18[[#This Row],[ITEM CODE]]</f>
        <v>988100614</v>
      </c>
      <c r="J391" s="215" t="str">
        <f>Table18[[#This Row],[ITEM NAME]]</f>
        <v>FRENCH FRIES 2000 68gr</v>
      </c>
      <c r="K391" s="217"/>
    </row>
    <row r="392" spans="1:11" s="219" customFormat="1" hidden="1">
      <c r="A392" s="218" t="s">
        <v>124</v>
      </c>
      <c r="B392" s="218" t="s">
        <v>41</v>
      </c>
      <c r="C392" s="215">
        <v>988100447</v>
      </c>
      <c r="D392" s="215" t="s">
        <v>439</v>
      </c>
      <c r="E392" s="216"/>
      <c r="G392" s="214" t="str">
        <f>Table18[[#This Row],[KATEGORI]]</f>
        <v>PERSONAL CARE</v>
      </c>
      <c r="H392" s="214" t="str">
        <f>Table18[[#This Row],[TYPE]]</f>
        <v>CONSIGNMENT</v>
      </c>
      <c r="I392" s="215">
        <f>Table18[[#This Row],[ITEM CODE]]</f>
        <v>988100447</v>
      </c>
      <c r="J392" s="215" t="str">
        <f>Table18[[#This Row],[ITEM NAME]]</f>
        <v>HIGEN HAND SANITIZER 60ML</v>
      </c>
      <c r="K392" s="217"/>
    </row>
    <row r="393" spans="1:11" s="219" customFormat="1" hidden="1">
      <c r="A393" s="218" t="s">
        <v>124</v>
      </c>
      <c r="B393" s="218" t="s">
        <v>41</v>
      </c>
      <c r="C393" s="215">
        <v>988100634</v>
      </c>
      <c r="D393" s="164" t="s">
        <v>147</v>
      </c>
      <c r="E393" s="216"/>
      <c r="G393" s="214" t="str">
        <f>Table18[[#This Row],[KATEGORI]]</f>
        <v>PERSONAL CARE</v>
      </c>
      <c r="H393" s="214" t="str">
        <f>Table18[[#This Row],[TYPE]]</f>
        <v>CONSIGNMENT</v>
      </c>
      <c r="I393" s="215">
        <f>Table18[[#This Row],[ITEM CODE]]</f>
        <v>988100634</v>
      </c>
      <c r="J393" s="215" t="str">
        <f>Table18[[#This Row],[ITEM NAME]]</f>
        <v>YUNIKON KIDS BODY MIST GREEN 100ml</v>
      </c>
      <c r="K393" s="217"/>
    </row>
    <row r="394" spans="1:11" s="219" customFormat="1" hidden="1">
      <c r="A394" s="218" t="s">
        <v>309</v>
      </c>
      <c r="B394" s="218" t="s">
        <v>41</v>
      </c>
      <c r="C394" s="215">
        <v>988100635</v>
      </c>
      <c r="D394" s="164" t="s">
        <v>148</v>
      </c>
      <c r="E394" s="216"/>
      <c r="G394" s="214" t="str">
        <f>Table18[[#This Row],[KATEGORI]]</f>
        <v>BUKU</v>
      </c>
      <c r="H394" s="214" t="str">
        <f>Table18[[#This Row],[TYPE]]</f>
        <v>CONSIGNMENT</v>
      </c>
      <c r="I394" s="215">
        <f>Table18[[#This Row],[ITEM CODE]]</f>
        <v>988100635</v>
      </c>
      <c r="J394" s="215" t="str">
        <f>Table18[[#This Row],[ITEM NAME]]</f>
        <v>YUNIKON KIDS BODY MIST PINK 100ml</v>
      </c>
      <c r="K394" s="217"/>
    </row>
    <row r="395" spans="1:11" s="219" customFormat="1" hidden="1">
      <c r="A395" s="218" t="s">
        <v>309</v>
      </c>
      <c r="B395" s="218" t="s">
        <v>41</v>
      </c>
      <c r="C395" s="215">
        <v>988100636</v>
      </c>
      <c r="D395" s="164" t="s">
        <v>149</v>
      </c>
      <c r="E395" s="216"/>
      <c r="G395" s="214" t="str">
        <f>Table18[[#This Row],[KATEGORI]]</f>
        <v>BUKU</v>
      </c>
      <c r="H395" s="214" t="str">
        <f>Table18[[#This Row],[TYPE]]</f>
        <v>CONSIGNMENT</v>
      </c>
      <c r="I395" s="215">
        <f>Table18[[#This Row],[ITEM CODE]]</f>
        <v>988100636</v>
      </c>
      <c r="J395" s="215" t="str">
        <f>Table18[[#This Row],[ITEM NAME]]</f>
        <v>YUNIKON KIDS BODY MIST PURPLE 100ml</v>
      </c>
      <c r="K395" s="217"/>
    </row>
    <row r="396" spans="1:11" s="219" customFormat="1">
      <c r="A396" s="218" t="s">
        <v>6</v>
      </c>
      <c r="B396" s="218" t="s">
        <v>7</v>
      </c>
      <c r="C396" s="215">
        <v>988100629</v>
      </c>
      <c r="D396" s="215" t="s">
        <v>20</v>
      </c>
      <c r="E396" s="216">
        <v>21</v>
      </c>
      <c r="G396" s="214" t="str">
        <f>Table18[[#This Row],[KATEGORI]]</f>
        <v>MINUMAN</v>
      </c>
      <c r="H396" s="214" t="str">
        <f>Table18[[#This Row],[TYPE]]</f>
        <v>RETAIL</v>
      </c>
      <c r="I396" s="215">
        <f>Table18[[#This Row],[ITEM CODE]]</f>
        <v>988100629</v>
      </c>
      <c r="J396" s="215" t="str">
        <f>Table18[[#This Row],[ITEM NAME]]</f>
        <v>NU  MILK CHOCOLATE TEA 330ML</v>
      </c>
      <c r="K396" s="217">
        <v>8</v>
      </c>
    </row>
    <row r="397" spans="1:11" s="219" customFormat="1" hidden="1">
      <c r="A397" s="218" t="s">
        <v>6</v>
      </c>
      <c r="B397" s="218" t="s">
        <v>7</v>
      </c>
      <c r="C397" s="215">
        <v>988100538</v>
      </c>
      <c r="D397" s="228" t="s">
        <v>500</v>
      </c>
      <c r="E397" s="216"/>
      <c r="G397" s="214" t="str">
        <f>Table18[[#This Row],[KATEGORI]]</f>
        <v>MINUMAN</v>
      </c>
      <c r="H397" s="214" t="str">
        <f>Table18[[#This Row],[TYPE]]</f>
        <v>RETAIL</v>
      </c>
      <c r="I397" s="215">
        <f>Table18[[#This Row],[ITEM CODE]]</f>
        <v>988100538</v>
      </c>
      <c r="J397" s="215" t="str">
        <f>Table18[[#This Row],[ITEM NAME]]</f>
        <v>YOU C 1000 MANGO 140ML</v>
      </c>
      <c r="K397" s="217"/>
    </row>
    <row r="398" spans="1:11" s="219" customFormat="1" hidden="1">
      <c r="A398" s="218" t="s">
        <v>6</v>
      </c>
      <c r="B398" s="218" t="s">
        <v>7</v>
      </c>
      <c r="C398" s="215">
        <v>988100630</v>
      </c>
      <c r="D398" s="215" t="s">
        <v>211</v>
      </c>
      <c r="E398" s="216"/>
      <c r="G398" s="214" t="str">
        <f>Table18[[#This Row],[KATEGORI]]</f>
        <v>MINUMAN</v>
      </c>
      <c r="H398" s="214" t="str">
        <f>Table18[[#This Row],[TYPE]]</f>
        <v>RETAIL</v>
      </c>
      <c r="I398" s="215">
        <f>Table18[[#This Row],[ITEM CODE]]</f>
        <v>988100630</v>
      </c>
      <c r="J398" s="215" t="str">
        <f>Table18[[#This Row],[ITEM NAME]]</f>
        <v>NIPIS MADU 330ML</v>
      </c>
      <c r="K398" s="217"/>
    </row>
    <row r="399" spans="1:11" s="219" customFormat="1">
      <c r="A399" s="218" t="s">
        <v>6</v>
      </c>
      <c r="B399" s="218" t="s">
        <v>7</v>
      </c>
      <c r="C399" s="215">
        <v>100050</v>
      </c>
      <c r="D399" s="215" t="s">
        <v>15</v>
      </c>
      <c r="E399" s="216"/>
      <c r="G399" s="214" t="str">
        <f>Table18[[#This Row],[KATEGORI]]</f>
        <v>MINUMAN</v>
      </c>
      <c r="H399" s="214" t="str">
        <f>Table18[[#This Row],[TYPE]]</f>
        <v>RETAIL</v>
      </c>
      <c r="I399" s="215">
        <f>Table18[[#This Row],[ITEM CODE]]</f>
        <v>100050</v>
      </c>
      <c r="J399" s="215" t="str">
        <f>Table18[[#This Row],[ITEM NAME]]</f>
        <v>FT APPLE 500ML</v>
      </c>
      <c r="K399" s="217">
        <v>20</v>
      </c>
    </row>
    <row r="400" spans="1:11" s="219" customFormat="1">
      <c r="A400" s="218" t="s">
        <v>6</v>
      </c>
      <c r="B400" s="218" t="s">
        <v>7</v>
      </c>
      <c r="C400" s="215">
        <v>100052</v>
      </c>
      <c r="D400" s="215" t="s">
        <v>16</v>
      </c>
      <c r="E400" s="216"/>
      <c r="G400" s="214" t="str">
        <f>Table18[[#This Row],[KATEGORI]]</f>
        <v>MINUMAN</v>
      </c>
      <c r="H400" s="214" t="str">
        <f>Table18[[#This Row],[TYPE]]</f>
        <v>RETAIL</v>
      </c>
      <c r="I400" s="215">
        <f>Table18[[#This Row],[ITEM CODE]]</f>
        <v>100052</v>
      </c>
      <c r="J400" s="215" t="str">
        <f>Table18[[#This Row],[ITEM NAME]]</f>
        <v>FT STRAWBERRY 500ML</v>
      </c>
      <c r="K400" s="217">
        <v>48</v>
      </c>
    </row>
    <row r="401" spans="1:11" s="219" customFormat="1">
      <c r="A401" s="218" t="s">
        <v>6</v>
      </c>
      <c r="B401" s="218" t="s">
        <v>7</v>
      </c>
      <c r="C401" s="215">
        <v>100048</v>
      </c>
      <c r="D401" s="222" t="s">
        <v>19</v>
      </c>
      <c r="E401" s="216"/>
      <c r="G401" s="214" t="str">
        <f>Table18[[#This Row],[KATEGORI]]</f>
        <v>MINUMAN</v>
      </c>
      <c r="H401" s="214" t="str">
        <f>Table18[[#This Row],[TYPE]]</f>
        <v>RETAIL</v>
      </c>
      <c r="I401" s="215">
        <f>Table18[[#This Row],[ITEM CODE]]</f>
        <v>100048</v>
      </c>
      <c r="J401" s="215" t="str">
        <f>Table18[[#This Row],[ITEM NAME]]</f>
        <v>FT BLACK CURRANT 500ML</v>
      </c>
      <c r="K401" s="217">
        <v>26</v>
      </c>
    </row>
    <row r="402" spans="1:11" s="219" customFormat="1">
      <c r="A402" s="218" t="s">
        <v>25</v>
      </c>
      <c r="B402" s="218" t="s">
        <v>7</v>
      </c>
      <c r="C402" s="220">
        <v>988100613</v>
      </c>
      <c r="D402" s="226" t="s">
        <v>32</v>
      </c>
      <c r="E402" s="216">
        <v>37</v>
      </c>
      <c r="G402" s="214" t="str">
        <f>Table18[[#This Row],[KATEGORI]]</f>
        <v>SNACK</v>
      </c>
      <c r="H402" s="214" t="str">
        <f>Table18[[#This Row],[TYPE]]</f>
        <v>RETAIL</v>
      </c>
      <c r="I402" s="215">
        <f>Table18[[#This Row],[ITEM CODE]]</f>
        <v>988100613</v>
      </c>
      <c r="J402" s="215" t="str">
        <f>Table18[[#This Row],[ITEM NAME]]</f>
        <v>CHIKI TWIST JAGUNG BAKAR 23GR</v>
      </c>
      <c r="K402" s="217"/>
    </row>
    <row r="403" spans="1:11" s="219" customFormat="1">
      <c r="A403" s="218" t="s">
        <v>25</v>
      </c>
      <c r="B403" s="218" t="s">
        <v>7</v>
      </c>
      <c r="C403" s="215">
        <v>988100610</v>
      </c>
      <c r="D403" s="164" t="s">
        <v>33</v>
      </c>
      <c r="E403" s="216">
        <v>48</v>
      </c>
      <c r="G403" s="214" t="str">
        <f>Table18[[#This Row],[KATEGORI]]</f>
        <v>SNACK</v>
      </c>
      <c r="H403" s="214" t="str">
        <f>Table18[[#This Row],[TYPE]]</f>
        <v>RETAIL</v>
      </c>
      <c r="I403" s="215">
        <f>Table18[[#This Row],[ITEM CODE]]</f>
        <v>988100610</v>
      </c>
      <c r="J403" s="215" t="str">
        <f>Table18[[#This Row],[ITEM NAME]]</f>
        <v>CHIKI TWIST FLAMING HOT 23 GR</v>
      </c>
      <c r="K403" s="217"/>
    </row>
    <row r="404" spans="1:11" s="219" customFormat="1">
      <c r="A404" s="218" t="s">
        <v>25</v>
      </c>
      <c r="B404" s="218" t="s">
        <v>7</v>
      </c>
      <c r="C404" s="215">
        <v>988100566</v>
      </c>
      <c r="D404" s="228" t="s">
        <v>28</v>
      </c>
      <c r="E404" s="216">
        <v>7</v>
      </c>
      <c r="G404" s="214" t="str">
        <f>Table18[[#This Row],[KATEGORI]]</f>
        <v>SNACK</v>
      </c>
      <c r="H404" s="214" t="str">
        <f>Table18[[#This Row],[TYPE]]</f>
        <v>RETAIL</v>
      </c>
      <c r="I404" s="215">
        <f>Table18[[#This Row],[ITEM CODE]]</f>
        <v>988100566</v>
      </c>
      <c r="J404" s="215" t="str">
        <f>Table18[[#This Row],[ITEM NAME]]</f>
        <v>JETZ CHOCO FIESTA 12GR</v>
      </c>
      <c r="K404" s="217"/>
    </row>
    <row r="405" spans="1:11" s="219" customFormat="1" hidden="1">
      <c r="A405" s="218" t="s">
        <v>25</v>
      </c>
      <c r="B405" s="218" t="s">
        <v>7</v>
      </c>
      <c r="C405" s="215">
        <v>988100650</v>
      </c>
      <c r="D405" s="228" t="s">
        <v>784</v>
      </c>
      <c r="E405" s="216"/>
      <c r="G405" s="214" t="str">
        <f>Table18[[#This Row],[KATEGORI]]</f>
        <v>SNACK</v>
      </c>
      <c r="H405" s="214" t="str">
        <f>Table18[[#This Row],[TYPE]]</f>
        <v>RETAIL</v>
      </c>
      <c r="I405" s="215">
        <f>Table18[[#This Row],[ITEM CODE]]</f>
        <v>988100650</v>
      </c>
      <c r="J405" s="215" t="str">
        <f>Table18[[#This Row],[ITEM NAME]]</f>
        <v>KUSUKA UBI ORIGINAL 60GR</v>
      </c>
      <c r="K405" s="217"/>
    </row>
    <row r="406" spans="1:11" s="219" customFormat="1" hidden="1">
      <c r="A406" s="218" t="s">
        <v>25</v>
      </c>
      <c r="B406" s="218" t="s">
        <v>7</v>
      </c>
      <c r="C406" s="215">
        <v>988100637</v>
      </c>
      <c r="D406" s="228" t="s">
        <v>547</v>
      </c>
      <c r="E406" s="216"/>
      <c r="G406" s="214" t="str">
        <f>Table18[[#This Row],[KATEGORI]]</f>
        <v>SNACK</v>
      </c>
      <c r="H406" s="214" t="str">
        <f>Table18[[#This Row],[TYPE]]</f>
        <v>RETAIL</v>
      </c>
      <c r="I406" s="215">
        <f>Table18[[#This Row],[ITEM CODE]]</f>
        <v>988100637</v>
      </c>
      <c r="J406" s="215" t="str">
        <f>Table18[[#This Row],[ITEM NAME]]</f>
        <v>KUSUKA TOPING BALADO 60GR</v>
      </c>
      <c r="K406" s="217"/>
    </row>
    <row r="407" spans="1:11" s="219" customFormat="1" hidden="1">
      <c r="A407" s="218" t="s">
        <v>25</v>
      </c>
      <c r="B407" s="218" t="s">
        <v>7</v>
      </c>
      <c r="C407" s="215">
        <v>988100568</v>
      </c>
      <c r="D407" s="230" t="s">
        <v>552</v>
      </c>
      <c r="E407" s="216"/>
      <c r="G407" s="214" t="str">
        <f>Table18[[#This Row],[KATEGORI]]</f>
        <v>SNACK</v>
      </c>
      <c r="H407" s="214" t="str">
        <f>Table18[[#This Row],[TYPE]]</f>
        <v>RETAIL</v>
      </c>
      <c r="I407" s="215">
        <f>Table18[[#This Row],[ITEM CODE]]</f>
        <v>988100568</v>
      </c>
      <c r="J407" s="215" t="str">
        <f>Table18[[#This Row],[ITEM NAME]]</f>
        <v>KUSUKA SINGKONG RUMPUT LAUT 60G</v>
      </c>
      <c r="K407" s="217"/>
    </row>
    <row r="408" spans="1:11" s="219" customFormat="1">
      <c r="A408" s="218" t="s">
        <v>40</v>
      </c>
      <c r="B408" s="218" t="s">
        <v>7</v>
      </c>
      <c r="C408" s="215">
        <v>988100661</v>
      </c>
      <c r="D408" s="230" t="s">
        <v>57</v>
      </c>
      <c r="E408" s="216">
        <v>9</v>
      </c>
      <c r="G408" s="214" t="str">
        <f>Table18[[#This Row],[KATEGORI]]</f>
        <v>ACCS MOBIL</v>
      </c>
      <c r="H408" s="214" t="str">
        <f>Table18[[#This Row],[TYPE]]</f>
        <v>RETAIL</v>
      </c>
      <c r="I408" s="215">
        <f>Table18[[#This Row],[ITEM CODE]]</f>
        <v>988100661</v>
      </c>
      <c r="J408" s="215" t="str">
        <f>Table18[[#This Row],[ITEM NAME]]</f>
        <v>CUBE CR WHITE TEA</v>
      </c>
      <c r="K408" s="217"/>
    </row>
    <row r="409" spans="1:11" s="219" customFormat="1" hidden="1">
      <c r="A409" s="218" t="s">
        <v>40</v>
      </c>
      <c r="B409" s="218" t="s">
        <v>7</v>
      </c>
      <c r="C409" s="215">
        <v>988100662</v>
      </c>
      <c r="D409" s="230" t="s">
        <v>59</v>
      </c>
      <c r="E409" s="216"/>
      <c r="G409" s="214" t="str">
        <f>Table18[[#This Row],[KATEGORI]]</f>
        <v>ACCS MOBIL</v>
      </c>
      <c r="H409" s="214" t="str">
        <f>Table18[[#This Row],[TYPE]]</f>
        <v>RETAIL</v>
      </c>
      <c r="I409" s="215">
        <f>Table18[[#This Row],[ITEM CODE]]</f>
        <v>988100662</v>
      </c>
      <c r="J409" s="215" t="str">
        <f>Table18[[#This Row],[ITEM NAME]]</f>
        <v>CUBE CR LEMON GRASS</v>
      </c>
      <c r="K409" s="217"/>
    </row>
    <row r="410" spans="1:11" s="219" customFormat="1">
      <c r="A410" s="218" t="s">
        <v>25</v>
      </c>
      <c r="B410" s="218" t="s">
        <v>7</v>
      </c>
      <c r="C410" s="236">
        <v>200346</v>
      </c>
      <c r="D410" s="236" t="s">
        <v>851</v>
      </c>
      <c r="E410" s="216">
        <v>20</v>
      </c>
      <c r="G410" s="214" t="str">
        <f>Table18[[#This Row],[KATEGORI]]</f>
        <v>SNACK</v>
      </c>
      <c r="H410" s="214" t="str">
        <f>Table18[[#This Row],[TYPE]]</f>
        <v>RETAIL</v>
      </c>
      <c r="I410" s="215">
        <f>Table18[[#This Row],[ITEM CODE]]</f>
        <v>200346</v>
      </c>
      <c r="J410" s="215" t="str">
        <f>Table18[[#This Row],[ITEM NAME]]</f>
        <v>JETZ HOLLOW PAPRIKA 20GR</v>
      </c>
      <c r="K410" s="217"/>
    </row>
    <row r="411" spans="1:11" s="219" customFormat="1">
      <c r="A411" s="218" t="s">
        <v>25</v>
      </c>
      <c r="B411" s="218" t="s">
        <v>7</v>
      </c>
      <c r="C411" s="164">
        <v>988100663</v>
      </c>
      <c r="D411" s="164" t="s">
        <v>121</v>
      </c>
      <c r="E411" s="216">
        <v>2</v>
      </c>
      <c r="G411" s="214" t="str">
        <f>Table18[[#This Row],[KATEGORI]]</f>
        <v>SNACK</v>
      </c>
      <c r="H411" s="214" t="str">
        <f>Table18[[#This Row],[TYPE]]</f>
        <v>RETAIL</v>
      </c>
      <c r="I411" s="215">
        <f>Table18[[#This Row],[ITEM CODE]]</f>
        <v>988100663</v>
      </c>
      <c r="J411" s="215" t="str">
        <f>Table18[[#This Row],[ITEM NAME]]</f>
        <v>QTELA SINGKONG BBQ 30GR</v>
      </c>
      <c r="K411" s="217"/>
    </row>
    <row r="412" spans="1:11" s="219" customFormat="1">
      <c r="A412" s="218" t="s">
        <v>40</v>
      </c>
      <c r="B412" s="218" t="s">
        <v>7</v>
      </c>
      <c r="C412" s="164">
        <v>988100668</v>
      </c>
      <c r="D412" s="102" t="s">
        <v>155</v>
      </c>
      <c r="E412" s="216">
        <v>11</v>
      </c>
      <c r="G412" s="214" t="str">
        <f>Table18[[#This Row],[KATEGORI]]</f>
        <v>ACCS MOBIL</v>
      </c>
      <c r="H412" s="214" t="str">
        <f>Table18[[#This Row],[TYPE]]</f>
        <v>RETAIL</v>
      </c>
      <c r="I412" s="215">
        <f>Table18[[#This Row],[ITEM CODE]]</f>
        <v>988100668</v>
      </c>
      <c r="J412" s="215" t="str">
        <f>Table18[[#This Row],[ITEM NAME]]</f>
        <v>CUBE CR LAVENDER</v>
      </c>
      <c r="K412" s="217"/>
    </row>
    <row r="413" spans="1:11" s="219" customFormat="1">
      <c r="A413" s="218" t="s">
        <v>6</v>
      </c>
      <c r="B413" s="218" t="s">
        <v>7</v>
      </c>
      <c r="C413" s="215">
        <v>988100673</v>
      </c>
      <c r="D413" s="164" t="s">
        <v>213</v>
      </c>
      <c r="E413" s="216">
        <v>23</v>
      </c>
      <c r="G413" s="214" t="str">
        <f>Table18[[#This Row],[KATEGORI]]</f>
        <v>MINUMAN</v>
      </c>
      <c r="H413" s="214" t="str">
        <f>Table18[[#This Row],[TYPE]]</f>
        <v>RETAIL</v>
      </c>
      <c r="I413" s="215">
        <f>Table18[[#This Row],[ITEM CODE]]</f>
        <v>988100673</v>
      </c>
      <c r="J413" s="215" t="str">
        <f>Table18[[#This Row],[ITEM NAME]]</f>
        <v>KOPI KENANGAN INDONESIANO</v>
      </c>
      <c r="K413" s="217">
        <v>3</v>
      </c>
    </row>
    <row r="414" spans="1:11" s="219" customFormat="1">
      <c r="A414" s="218" t="s">
        <v>6</v>
      </c>
      <c r="B414" s="218" t="s">
        <v>7</v>
      </c>
      <c r="C414" s="215">
        <v>988100674</v>
      </c>
      <c r="D414" s="164" t="s">
        <v>214</v>
      </c>
      <c r="E414" s="216">
        <v>32</v>
      </c>
      <c r="G414" s="214" t="str">
        <f>Table18[[#This Row],[KATEGORI]]</f>
        <v>MINUMAN</v>
      </c>
      <c r="H414" s="214" t="str">
        <f>Table18[[#This Row],[TYPE]]</f>
        <v>RETAIL</v>
      </c>
      <c r="I414" s="215">
        <f>Table18[[#This Row],[ITEM CODE]]</f>
        <v>988100674</v>
      </c>
      <c r="J414" s="215" t="str">
        <f>Table18[[#This Row],[ITEM NAME]]</f>
        <v>KOPI KENANGAN CAFFELATE</v>
      </c>
      <c r="K414" s="217">
        <v>1</v>
      </c>
    </row>
    <row r="415" spans="1:11" s="219" customFormat="1">
      <c r="A415" s="218" t="s">
        <v>6</v>
      </c>
      <c r="B415" s="218" t="s">
        <v>7</v>
      </c>
      <c r="C415" s="215">
        <v>988100675</v>
      </c>
      <c r="D415" s="164" t="s">
        <v>215</v>
      </c>
      <c r="E415" s="216">
        <v>28</v>
      </c>
      <c r="G415" s="214" t="str">
        <f>Table18[[#This Row],[KATEGORI]]</f>
        <v>MINUMAN</v>
      </c>
      <c r="H415" s="214" t="str">
        <f>Table18[[#This Row],[TYPE]]</f>
        <v>RETAIL</v>
      </c>
      <c r="I415" s="215">
        <f>Table18[[#This Row],[ITEM CODE]]</f>
        <v>988100675</v>
      </c>
      <c r="J415" s="215" t="str">
        <f>Table18[[#This Row],[ITEM NAME]]</f>
        <v>KOPI KENANGAN BLACK AREN</v>
      </c>
      <c r="K415" s="217"/>
    </row>
    <row r="416" spans="1:11" s="219" customFormat="1">
      <c r="A416" s="218" t="s">
        <v>6</v>
      </c>
      <c r="B416" s="218" t="s">
        <v>7</v>
      </c>
      <c r="C416" s="215">
        <v>988100676</v>
      </c>
      <c r="D416" s="164" t="s">
        <v>216</v>
      </c>
      <c r="E416" s="216">
        <v>4</v>
      </c>
      <c r="G416" s="214" t="str">
        <f>Table18[[#This Row],[KATEGORI]]</f>
        <v>MINUMAN</v>
      </c>
      <c r="H416" s="214" t="str">
        <f>Table18[[#This Row],[TYPE]]</f>
        <v>RETAIL</v>
      </c>
      <c r="I416" s="215">
        <f>Table18[[#This Row],[ITEM CODE]]</f>
        <v>988100676</v>
      </c>
      <c r="J416" s="215" t="str">
        <f>Table18[[#This Row],[ITEM NAME]]</f>
        <v>KOPI KENANGAN AVOCUDDLE</v>
      </c>
      <c r="K416" s="217">
        <v>3</v>
      </c>
    </row>
    <row r="417" spans="1:11" s="219" customFormat="1">
      <c r="A417" s="218" t="s">
        <v>89</v>
      </c>
      <c r="B417" s="218" t="s">
        <v>7</v>
      </c>
      <c r="C417" s="220">
        <v>988100667</v>
      </c>
      <c r="D417" s="208" t="s">
        <v>120</v>
      </c>
      <c r="E417" s="216">
        <v>16</v>
      </c>
      <c r="G417" s="214" t="str">
        <f>Table18[[#This Row],[KATEGORI]]</f>
        <v>ES KRIM</v>
      </c>
      <c r="H417" s="214" t="str">
        <f>Table18[[#This Row],[TYPE]]</f>
        <v>RETAIL</v>
      </c>
      <c r="I417" s="215">
        <f>Table18[[#This Row],[ITEM CODE]]</f>
        <v>988100667</v>
      </c>
      <c r="J417" s="215" t="str">
        <f>Table18[[#This Row],[ITEM NAME]]</f>
        <v>FROSBITE CUP COOKIES N CREAM 60ML</v>
      </c>
      <c r="K417" s="217"/>
    </row>
    <row r="418" spans="1:11" s="219" customFormat="1" hidden="1">
      <c r="A418" s="218" t="s">
        <v>25</v>
      </c>
      <c r="B418" s="218" t="s">
        <v>41</v>
      </c>
      <c r="C418" s="215">
        <v>988100677</v>
      </c>
      <c r="D418" s="164" t="s">
        <v>169</v>
      </c>
      <c r="E418" s="216"/>
      <c r="G418" s="214" t="str">
        <f>Table18[[#This Row],[KATEGORI]]</f>
        <v>SNACK</v>
      </c>
      <c r="H418" s="214" t="str">
        <f>Table18[[#This Row],[TYPE]]</f>
        <v>CONSIGNMENT</v>
      </c>
      <c r="I418" s="215">
        <f>Table18[[#This Row],[ITEM CODE]]</f>
        <v>988100677</v>
      </c>
      <c r="J418" s="215" t="str">
        <f>Table18[[#This Row],[ITEM NAME]]</f>
        <v>MORE RICH SINGKONG MENTEGA</v>
      </c>
      <c r="K418" s="217"/>
    </row>
    <row r="419" spans="1:11" s="219" customFormat="1" hidden="1">
      <c r="A419" s="218" t="s">
        <v>25</v>
      </c>
      <c r="B419" s="218" t="s">
        <v>41</v>
      </c>
      <c r="C419" s="215">
        <v>988100678</v>
      </c>
      <c r="D419" s="164" t="s">
        <v>170</v>
      </c>
      <c r="E419" s="216"/>
      <c r="G419" s="214" t="str">
        <f>Table18[[#This Row],[KATEGORI]]</f>
        <v>SNACK</v>
      </c>
      <c r="H419" s="214" t="str">
        <f>Table18[[#This Row],[TYPE]]</f>
        <v>CONSIGNMENT</v>
      </c>
      <c r="I419" s="215">
        <f>Table18[[#This Row],[ITEM CODE]]</f>
        <v>988100678</v>
      </c>
      <c r="J419" s="215" t="str">
        <f>Table18[[#This Row],[ITEM NAME]]</f>
        <v>MORE RICH SINGKONG BBQ</v>
      </c>
      <c r="K419" s="217"/>
    </row>
    <row r="420" spans="1:11" s="219" customFormat="1" hidden="1">
      <c r="A420" s="218" t="s">
        <v>6</v>
      </c>
      <c r="B420" s="218" t="s">
        <v>41</v>
      </c>
      <c r="C420" s="215">
        <v>988100680</v>
      </c>
      <c r="D420" s="102" t="s">
        <v>172</v>
      </c>
      <c r="E420" s="216"/>
      <c r="G420" s="214" t="str">
        <f>Table18[[#This Row],[KATEGORI]]</f>
        <v>MINUMAN</v>
      </c>
      <c r="H420" s="214" t="str">
        <f>Table18[[#This Row],[TYPE]]</f>
        <v>CONSIGNMENT</v>
      </c>
      <c r="I420" s="215">
        <f>Table18[[#This Row],[ITEM CODE]]</f>
        <v>988100680</v>
      </c>
      <c r="J420" s="215" t="str">
        <f>Table18[[#This Row],[ITEM NAME]]</f>
        <v>ALKAKUA WATER 280ML</v>
      </c>
      <c r="K420" s="217"/>
    </row>
    <row r="421" spans="1:11" s="219" customFormat="1" hidden="1">
      <c r="A421" s="218" t="s">
        <v>6</v>
      </c>
      <c r="B421" s="218" t="s">
        <v>41</v>
      </c>
      <c r="C421" s="156">
        <v>988100686</v>
      </c>
      <c r="D421" s="237" t="s">
        <v>173</v>
      </c>
      <c r="E421" s="216"/>
      <c r="G421" s="214" t="str">
        <f>Table18[[#This Row],[KATEGORI]]</f>
        <v>MINUMAN</v>
      </c>
      <c r="H421" s="214" t="str">
        <f>Table18[[#This Row],[TYPE]]</f>
        <v>CONSIGNMENT</v>
      </c>
      <c r="I421" s="215">
        <f>Table18[[#This Row],[ITEM CODE]]</f>
        <v>988100686</v>
      </c>
      <c r="J421" s="215" t="str">
        <f>Table18[[#This Row],[ITEM NAME]]</f>
        <v>ALKAKUA WATER 500ml</v>
      </c>
      <c r="K421" s="217"/>
    </row>
    <row r="422" spans="1:11" s="219" customFormat="1" hidden="1">
      <c r="A422" s="218" t="s">
        <v>6</v>
      </c>
      <c r="B422" s="218" t="s">
        <v>7</v>
      </c>
      <c r="C422" s="220">
        <v>988100489</v>
      </c>
      <c r="D422" s="221" t="s">
        <v>212</v>
      </c>
      <c r="E422" s="216"/>
      <c r="G422" s="214" t="str">
        <f>Table18[[#This Row],[KATEGORI]]</f>
        <v>MINUMAN</v>
      </c>
      <c r="H422" s="214" t="str">
        <f>Table18[[#This Row],[TYPE]]</f>
        <v>RETAIL</v>
      </c>
      <c r="I422" s="215">
        <f>Table18[[#This Row],[ITEM CODE]]</f>
        <v>988100489</v>
      </c>
      <c r="J422" s="215" t="str">
        <f>Table18[[#This Row],[ITEM NAME]]</f>
        <v xml:space="preserve">COOL TIME COCONUT WATER 350ML </v>
      </c>
      <c r="K422" s="217"/>
    </row>
    <row r="423" spans="1:11" s="219" customFormat="1" hidden="1">
      <c r="A423" s="218" t="s">
        <v>40</v>
      </c>
      <c r="B423" s="218" t="s">
        <v>41</v>
      </c>
      <c r="C423" s="156">
        <v>988100682</v>
      </c>
      <c r="D423" s="100" t="s">
        <v>221</v>
      </c>
      <c r="E423" s="216"/>
      <c r="G423" s="214" t="str">
        <f>Table18[[#This Row],[KATEGORI]]</f>
        <v>ACCS MOBIL</v>
      </c>
      <c r="H423" s="214" t="str">
        <f>Table18[[#This Row],[TYPE]]</f>
        <v>CONSIGNMENT</v>
      </c>
      <c r="I423" s="215">
        <f>Table18[[#This Row],[ITEM CODE]]</f>
        <v>988100682</v>
      </c>
      <c r="J423" s="215" t="str">
        <f>Table18[[#This Row],[ITEM NAME]]</f>
        <v>OTO GOLD LINE INTERIOR CLEAN &amp; PROTECT 320ml</v>
      </c>
      <c r="K423" s="217"/>
    </row>
    <row r="424" spans="1:11" s="219" customFormat="1">
      <c r="A424" s="218" t="s">
        <v>40</v>
      </c>
      <c r="B424" s="218" t="s">
        <v>41</v>
      </c>
      <c r="C424" s="156">
        <v>988100683</v>
      </c>
      <c r="D424" s="100" t="s">
        <v>223</v>
      </c>
      <c r="E424" s="216">
        <v>6</v>
      </c>
      <c r="G424" s="214" t="str">
        <f>Table18[[#This Row],[KATEGORI]]</f>
        <v>ACCS MOBIL</v>
      </c>
      <c r="H424" s="214" t="str">
        <f>Table18[[#This Row],[TYPE]]</f>
        <v>CONSIGNMENT</v>
      </c>
      <c r="I424" s="215">
        <f>Table18[[#This Row],[ITEM CODE]]</f>
        <v>988100683</v>
      </c>
      <c r="J424" s="215" t="str">
        <f>Table18[[#This Row],[ITEM NAME]]</f>
        <v>OTO GOLD LINE TIRE SHINE 320ml</v>
      </c>
      <c r="K424" s="217"/>
    </row>
    <row r="425" spans="1:11" s="219" customFormat="1">
      <c r="A425" s="218" t="s">
        <v>40</v>
      </c>
      <c r="B425" s="218" t="s">
        <v>41</v>
      </c>
      <c r="C425" s="156">
        <v>988100684</v>
      </c>
      <c r="D425" s="164" t="s">
        <v>225</v>
      </c>
      <c r="E425" s="216">
        <v>12</v>
      </c>
      <c r="G425" s="214" t="str">
        <f>Table18[[#This Row],[KATEGORI]]</f>
        <v>ACCS MOBIL</v>
      </c>
      <c r="H425" s="214" t="str">
        <f>Table18[[#This Row],[TYPE]]</f>
        <v>CONSIGNMENT</v>
      </c>
      <c r="I425" s="215">
        <f>Table18[[#This Row],[ITEM CODE]]</f>
        <v>988100684</v>
      </c>
      <c r="J425" s="215" t="str">
        <f>Table18[[#This Row],[ITEM NAME]]</f>
        <v>OTO GLO CARWASH &amp; SHINE SHAMPO REF 720mL</v>
      </c>
      <c r="K425" s="217"/>
    </row>
    <row r="426" spans="1:11" s="219" customFormat="1">
      <c r="A426" s="218" t="s">
        <v>40</v>
      </c>
      <c r="B426" s="218" t="s">
        <v>41</v>
      </c>
      <c r="C426" s="156">
        <v>988100685</v>
      </c>
      <c r="D426" s="164" t="s">
        <v>227</v>
      </c>
      <c r="E426" s="216">
        <v>8</v>
      </c>
      <c r="G426" s="214" t="str">
        <f>Table18[[#This Row],[KATEGORI]]</f>
        <v>ACCS MOBIL</v>
      </c>
      <c r="H426" s="214" t="str">
        <f>Table18[[#This Row],[TYPE]]</f>
        <v>CONSIGNMENT</v>
      </c>
      <c r="I426" s="215">
        <f>Table18[[#This Row],[ITEM CODE]]</f>
        <v>988100685</v>
      </c>
      <c r="J426" s="215" t="str">
        <f>Table18[[#This Row],[ITEM NAME]]</f>
        <v>ENGINE ROOM CLEANER 285ml</v>
      </c>
      <c r="K426" s="217"/>
    </row>
    <row r="427" spans="1:11" s="219" customFormat="1" hidden="1">
      <c r="A427" s="218" t="s">
        <v>25</v>
      </c>
      <c r="B427" s="214" t="s">
        <v>7</v>
      </c>
      <c r="C427" s="156">
        <v>988100688</v>
      </c>
      <c r="D427" s="102" t="s">
        <v>177</v>
      </c>
      <c r="E427" s="216"/>
      <c r="G427" s="214" t="str">
        <f>Table18[[#This Row],[KATEGORI]]</f>
        <v>SNACK</v>
      </c>
      <c r="H427" s="214" t="str">
        <f>Table18[[#This Row],[TYPE]]</f>
        <v>RETAIL</v>
      </c>
      <c r="I427" s="215">
        <f>Table18[[#This Row],[ITEM CODE]]</f>
        <v>988100688</v>
      </c>
      <c r="J427" s="215" t="str">
        <f>Table18[[#This Row],[ITEM NAME]]</f>
        <v>MOMOGI JAGUNG BAKAR MANIS 12GR</v>
      </c>
      <c r="K427" s="217"/>
    </row>
    <row r="428" spans="1:11" s="219" customFormat="1" hidden="1">
      <c r="A428" s="218" t="s">
        <v>25</v>
      </c>
      <c r="B428" s="214" t="s">
        <v>7</v>
      </c>
      <c r="C428" s="156">
        <v>988100689</v>
      </c>
      <c r="D428" s="102" t="s">
        <v>178</v>
      </c>
      <c r="E428" s="216"/>
      <c r="G428" s="214" t="str">
        <f>Table18[[#This Row],[KATEGORI]]</f>
        <v>SNACK</v>
      </c>
      <c r="H428" s="214" t="str">
        <f>Table18[[#This Row],[TYPE]]</f>
        <v>RETAIL</v>
      </c>
      <c r="I428" s="215">
        <f>Table18[[#This Row],[ITEM CODE]]</f>
        <v>988100689</v>
      </c>
      <c r="J428" s="215" t="str">
        <f>Table18[[#This Row],[ITEM NAME]]</f>
        <v>MOMOGI RUMPUT LAUT 12GR</v>
      </c>
      <c r="K428" s="217"/>
    </row>
    <row r="429" spans="1:11" s="219" customFormat="1" hidden="1">
      <c r="A429" s="218" t="s">
        <v>25</v>
      </c>
      <c r="B429" s="214" t="s">
        <v>7</v>
      </c>
      <c r="C429" s="156">
        <v>988100690</v>
      </c>
      <c r="D429" s="102" t="s">
        <v>179</v>
      </c>
      <c r="E429" s="216"/>
      <c r="G429" s="214" t="str">
        <f>Table18[[#This Row],[KATEGORI]]</f>
        <v>SNACK</v>
      </c>
      <c r="H429" s="214" t="str">
        <f>Table18[[#This Row],[TYPE]]</f>
        <v>RETAIL</v>
      </c>
      <c r="I429" s="215">
        <f>Table18[[#This Row],[ITEM CODE]]</f>
        <v>988100690</v>
      </c>
      <c r="J429" s="215" t="str">
        <f>Table18[[#This Row],[ITEM NAME]]</f>
        <v>MOMOGI KEJU 12GR</v>
      </c>
      <c r="K429" s="217"/>
    </row>
    <row r="430" spans="1:11" s="219" customFormat="1" hidden="1">
      <c r="A430" s="218" t="s">
        <v>25</v>
      </c>
      <c r="B430" s="214" t="s">
        <v>7</v>
      </c>
      <c r="C430" s="156">
        <v>988100691</v>
      </c>
      <c r="D430" s="208" t="s">
        <v>180</v>
      </c>
      <c r="E430" s="216"/>
      <c r="G430" s="214" t="str">
        <f>Table18[[#This Row],[KATEGORI]]</f>
        <v>SNACK</v>
      </c>
      <c r="H430" s="214" t="str">
        <f>Table18[[#This Row],[TYPE]]</f>
        <v>RETAIL</v>
      </c>
      <c r="I430" s="215">
        <f>Table18[[#This Row],[ITEM CODE]]</f>
        <v>988100691</v>
      </c>
      <c r="J430" s="215" t="str">
        <f>Table18[[#This Row],[ITEM NAME]]</f>
        <v>MOMOGI COKLAT 12GR</v>
      </c>
      <c r="K430" s="217"/>
    </row>
    <row r="431" spans="1:11" s="219" customFormat="1" hidden="1">
      <c r="A431" s="218" t="s">
        <v>25</v>
      </c>
      <c r="B431" s="214" t="s">
        <v>7</v>
      </c>
      <c r="C431" s="123">
        <v>988100692</v>
      </c>
      <c r="D431" s="124" t="s">
        <v>185</v>
      </c>
      <c r="E431" s="216"/>
      <c r="G431" s="214" t="str">
        <f>Table18[[#This Row],[KATEGORI]]</f>
        <v>SNACK</v>
      </c>
      <c r="H431" s="214" t="str">
        <f>Table18[[#This Row],[TYPE]]</f>
        <v>RETAIL</v>
      </c>
      <c r="I431" s="215">
        <f>Table18[[#This Row],[ITEM CODE]]</f>
        <v>988100692</v>
      </c>
      <c r="J431" s="215" t="str">
        <f>Table18[[#This Row],[ITEM NAME]]</f>
        <v>POCKY ALMOND CHOCO DARK 25GR</v>
      </c>
      <c r="K431" s="217"/>
    </row>
    <row r="432" spans="1:11" s="219" customFormat="1" hidden="1">
      <c r="A432" s="218" t="s">
        <v>25</v>
      </c>
      <c r="B432" s="214" t="s">
        <v>7</v>
      </c>
      <c r="C432" s="123">
        <v>988100693</v>
      </c>
      <c r="D432" s="124" t="s">
        <v>186</v>
      </c>
      <c r="E432" s="216"/>
      <c r="G432" s="214" t="str">
        <f>Table18[[#This Row],[KATEGORI]]</f>
        <v>SNACK</v>
      </c>
      <c r="H432" s="214" t="str">
        <f>Table18[[#This Row],[TYPE]]</f>
        <v>RETAIL</v>
      </c>
      <c r="I432" s="215">
        <f>Table18[[#This Row],[ITEM CODE]]</f>
        <v>988100693</v>
      </c>
      <c r="J432" s="215" t="str">
        <f>Table18[[#This Row],[ITEM NAME]]</f>
        <v>POCKY ALMOND CHOCO MILK 25GR</v>
      </c>
      <c r="K432" s="217"/>
    </row>
    <row r="433" spans="1:11" s="219" customFormat="1">
      <c r="A433" s="218" t="s">
        <v>25</v>
      </c>
      <c r="B433" s="218" t="s">
        <v>41</v>
      </c>
      <c r="C433" s="215">
        <v>988100660</v>
      </c>
      <c r="D433" s="230" t="s">
        <v>175</v>
      </c>
      <c r="E433" s="216">
        <v>14</v>
      </c>
      <c r="G433" s="214" t="str">
        <f>Table18[[#This Row],[KATEGORI]]</f>
        <v>SNACK</v>
      </c>
      <c r="H433" s="214" t="str">
        <f>Table18[[#This Row],[TYPE]]</f>
        <v>CONSIGNMENT</v>
      </c>
      <c r="I433" s="215">
        <f>Table18[[#This Row],[ITEM CODE]]</f>
        <v>988100660</v>
      </c>
      <c r="J433" s="215" t="str">
        <f>Table18[[#This Row],[ITEM NAME]]</f>
        <v>SAGON</v>
      </c>
      <c r="K433" s="217"/>
    </row>
    <row r="434" spans="1:11" s="219" customFormat="1" hidden="1">
      <c r="A434" s="218" t="s">
        <v>6</v>
      </c>
      <c r="B434" s="218" t="s">
        <v>7</v>
      </c>
      <c r="C434" s="215">
        <v>988100681</v>
      </c>
      <c r="D434" s="102" t="s">
        <v>217</v>
      </c>
      <c r="E434" s="216"/>
      <c r="G434" s="214" t="str">
        <f>Table18[[#This Row],[KATEGORI]]</f>
        <v>MINUMAN</v>
      </c>
      <c r="H434" s="214" t="str">
        <f>Table18[[#This Row],[TYPE]]</f>
        <v>RETAIL</v>
      </c>
      <c r="I434" s="215">
        <f>Table18[[#This Row],[ITEM CODE]]</f>
        <v>988100681</v>
      </c>
      <c r="J434" s="215" t="str">
        <f>Table18[[#This Row],[ITEM NAME]]</f>
        <v>KOPI KENANGAN MANTANCINO</v>
      </c>
      <c r="K434" s="217"/>
    </row>
    <row r="435" spans="1:11" s="219" customFormat="1">
      <c r="A435" s="218" t="s">
        <v>25</v>
      </c>
      <c r="B435" s="214" t="s">
        <v>41</v>
      </c>
      <c r="C435" s="123">
        <v>988100694</v>
      </c>
      <c r="D435" s="124" t="s">
        <v>195</v>
      </c>
      <c r="E435" s="216">
        <v>4</v>
      </c>
      <c r="G435" s="214" t="str">
        <f>Table18[[#This Row],[KATEGORI]]</f>
        <v>SNACK</v>
      </c>
      <c r="H435" s="214" t="str">
        <f>Table18[[#This Row],[TYPE]]</f>
        <v>CONSIGNMENT</v>
      </c>
      <c r="I435" s="215">
        <f>Table18[[#This Row],[ITEM CODE]]</f>
        <v>988100694</v>
      </c>
      <c r="J435" s="215" t="str">
        <f>Table18[[#This Row],[ITEM NAME]]</f>
        <v>FRIENZY SNACK BISKUIT GEM ROSE 175GR</v>
      </c>
      <c r="K435" s="217"/>
    </row>
    <row r="436" spans="1:11" s="219" customFormat="1" hidden="1">
      <c r="A436" s="218" t="s">
        <v>25</v>
      </c>
      <c r="B436" s="214" t="s">
        <v>41</v>
      </c>
      <c r="C436" s="123">
        <v>988100695</v>
      </c>
      <c r="D436" s="124" t="s">
        <v>197</v>
      </c>
      <c r="E436" s="216"/>
      <c r="G436" s="214" t="str">
        <f>Table18[[#This Row],[KATEGORI]]</f>
        <v>SNACK</v>
      </c>
      <c r="H436" s="214" t="str">
        <f>Table18[[#This Row],[TYPE]]</f>
        <v>CONSIGNMENT</v>
      </c>
      <c r="I436" s="215">
        <f>Table18[[#This Row],[ITEM CODE]]</f>
        <v>988100695</v>
      </c>
      <c r="J436" s="215" t="str">
        <f>Table18[[#This Row],[ITEM NAME]]</f>
        <v>FRIENZY POP CORN SWEET CHEESE 50G</v>
      </c>
      <c r="K436" s="217"/>
    </row>
    <row r="437" spans="1:11" s="219" customFormat="1">
      <c r="A437" s="218" t="s">
        <v>25</v>
      </c>
      <c r="B437" s="214" t="s">
        <v>41</v>
      </c>
      <c r="C437" s="123">
        <v>988100696</v>
      </c>
      <c r="D437" s="124" t="s">
        <v>199</v>
      </c>
      <c r="E437" s="216">
        <v>6</v>
      </c>
      <c r="G437" s="214" t="str">
        <f>Table18[[#This Row],[KATEGORI]]</f>
        <v>SNACK</v>
      </c>
      <c r="H437" s="214" t="str">
        <f>Table18[[#This Row],[TYPE]]</f>
        <v>CONSIGNMENT</v>
      </c>
      <c r="I437" s="215">
        <f>Table18[[#This Row],[ITEM CODE]]</f>
        <v>988100696</v>
      </c>
      <c r="J437" s="215" t="str">
        <f>Table18[[#This Row],[ITEM NAME]]</f>
        <v>FRIENZY SINGKONG MENTEGA 180GR</v>
      </c>
      <c r="K437" s="217"/>
    </row>
    <row r="438" spans="1:11" s="219" customFormat="1" hidden="1">
      <c r="A438" s="218" t="s">
        <v>25</v>
      </c>
      <c r="B438" s="214" t="s">
        <v>41</v>
      </c>
      <c r="C438" s="123">
        <v>988100697</v>
      </c>
      <c r="D438" s="124" t="s">
        <v>201</v>
      </c>
      <c r="E438" s="216"/>
      <c r="G438" s="214" t="str">
        <f>Table18[[#This Row],[KATEGORI]]</f>
        <v>SNACK</v>
      </c>
      <c r="H438" s="214" t="str">
        <f>Table18[[#This Row],[TYPE]]</f>
        <v>CONSIGNMENT</v>
      </c>
      <c r="I438" s="215">
        <f>Table18[[#This Row],[ITEM CODE]]</f>
        <v>988100697</v>
      </c>
      <c r="J438" s="215" t="str">
        <f>Table18[[#This Row],[ITEM NAME]]</f>
        <v>FRIENZY RAMBAK SIRLOIN 50GR</v>
      </c>
      <c r="K438" s="217"/>
    </row>
    <row r="439" spans="1:11" s="219" customFormat="1">
      <c r="A439" s="218" t="s">
        <v>25</v>
      </c>
      <c r="B439" s="214" t="s">
        <v>41</v>
      </c>
      <c r="C439" s="123">
        <v>988100698</v>
      </c>
      <c r="D439" s="124" t="s">
        <v>203</v>
      </c>
      <c r="E439" s="216">
        <v>6</v>
      </c>
      <c r="G439" s="214" t="str">
        <f>Table18[[#This Row],[KATEGORI]]</f>
        <v>SNACK</v>
      </c>
      <c r="H439" s="214" t="str">
        <f>Table18[[#This Row],[TYPE]]</f>
        <v>CONSIGNMENT</v>
      </c>
      <c r="I439" s="215">
        <f>Table18[[#This Row],[ITEM CODE]]</f>
        <v>988100698</v>
      </c>
      <c r="J439" s="215" t="str">
        <f>Table18[[#This Row],[ITEM NAME]]</f>
        <v>FRIENZY BANANA CARAMEL 150GR</v>
      </c>
      <c r="K439" s="217"/>
    </row>
    <row r="440" spans="1:11" s="219" customFormat="1">
      <c r="A440" s="218" t="s">
        <v>25</v>
      </c>
      <c r="B440" s="214" t="s">
        <v>41</v>
      </c>
      <c r="C440" s="123">
        <v>988100699</v>
      </c>
      <c r="D440" s="124" t="s">
        <v>205</v>
      </c>
      <c r="E440" s="216">
        <v>4</v>
      </c>
      <c r="G440" s="214" t="str">
        <f>Table18[[#This Row],[KATEGORI]]</f>
        <v>SNACK</v>
      </c>
      <c r="H440" s="214" t="str">
        <f>Table18[[#This Row],[TYPE]]</f>
        <v>CONSIGNMENT</v>
      </c>
      <c r="I440" s="215">
        <f>Table18[[#This Row],[ITEM CODE]]</f>
        <v>988100699</v>
      </c>
      <c r="J440" s="215" t="str">
        <f>Table18[[#This Row],[ITEM NAME]]</f>
        <v>FRIENZY SPRING ROLLS 175GR</v>
      </c>
      <c r="K440" s="217"/>
    </row>
    <row r="441" spans="1:11" s="219" customFormat="1">
      <c r="A441" s="218" t="s">
        <v>25</v>
      </c>
      <c r="B441" s="214" t="s">
        <v>41</v>
      </c>
      <c r="C441" s="125">
        <v>988100700</v>
      </c>
      <c r="D441" s="126" t="s">
        <v>207</v>
      </c>
      <c r="E441" s="216">
        <v>4</v>
      </c>
      <c r="G441" s="214" t="str">
        <f>Table18[[#This Row],[KATEGORI]]</f>
        <v>SNACK</v>
      </c>
      <c r="H441" s="214" t="str">
        <f>Table18[[#This Row],[TYPE]]</f>
        <v>CONSIGNMENT</v>
      </c>
      <c r="I441" s="215">
        <f>Table18[[#This Row],[ITEM CODE]]</f>
        <v>988100700</v>
      </c>
      <c r="J441" s="215" t="str">
        <f>Table18[[#This Row],[ITEM NAME]]</f>
        <v>FRIENZY EMPING CARAMEL 150GR</v>
      </c>
      <c r="K441" s="217"/>
    </row>
    <row r="442" spans="1:11" s="219" customFormat="1" hidden="1">
      <c r="A442" s="218" t="s">
        <v>25</v>
      </c>
      <c r="B442" s="214" t="s">
        <v>41</v>
      </c>
      <c r="C442" s="125">
        <v>988100701</v>
      </c>
      <c r="D442" s="102" t="s">
        <v>209</v>
      </c>
      <c r="E442" s="216"/>
      <c r="G442" s="214" t="str">
        <f>Table18[[#This Row],[KATEGORI]]</f>
        <v>SNACK</v>
      </c>
      <c r="H442" s="214" t="str">
        <f>Table18[[#This Row],[TYPE]]</f>
        <v>CONSIGNMENT</v>
      </c>
      <c r="I442" s="215">
        <f>Table18[[#This Row],[ITEM CODE]]</f>
        <v>988100701</v>
      </c>
      <c r="J442" s="215" t="str">
        <f>Table18[[#This Row],[ITEM NAME]]</f>
        <v>FRIENZY POP CORN CARAMEL 50G</v>
      </c>
      <c r="K442" s="217"/>
    </row>
    <row r="443" spans="1:11" s="219" customFormat="1" hidden="1">
      <c r="A443" s="218" t="s">
        <v>25</v>
      </c>
      <c r="B443" s="218" t="s">
        <v>7</v>
      </c>
      <c r="C443" s="156">
        <v>988100707</v>
      </c>
      <c r="D443" s="102" t="s">
        <v>233</v>
      </c>
      <c r="E443" s="216"/>
      <c r="G443" s="214" t="str">
        <f>Table18[[#This Row],[KATEGORI]]</f>
        <v>SNACK</v>
      </c>
      <c r="H443" s="214" t="str">
        <f>Table18[[#This Row],[TYPE]]</f>
        <v>RETAIL</v>
      </c>
      <c r="I443" s="215">
        <f>Table18[[#This Row],[ITEM CODE]]</f>
        <v>988100707</v>
      </c>
      <c r="J443" s="215" t="str">
        <f>Table18[[#This Row],[ITEM NAME]]</f>
        <v>GOOD TIME DOUBLE CHOCO 10,6gr</v>
      </c>
      <c r="K443" s="217"/>
    </row>
    <row r="444" spans="1:11" s="219" customFormat="1" hidden="1">
      <c r="A444" s="214" t="s">
        <v>25</v>
      </c>
      <c r="B444" s="214" t="s">
        <v>41</v>
      </c>
      <c r="C444" s="156">
        <v>988100708</v>
      </c>
      <c r="D444" s="102" t="s">
        <v>235</v>
      </c>
      <c r="E444" s="216"/>
      <c r="G444" s="214" t="str">
        <f>Table18[[#This Row],[KATEGORI]]</f>
        <v>SNACK</v>
      </c>
      <c r="H444" s="214" t="str">
        <f>Table18[[#This Row],[TYPE]]</f>
        <v>CONSIGNMENT</v>
      </c>
      <c r="I444" s="215">
        <f>Table18[[#This Row],[ITEM CODE]]</f>
        <v>988100708</v>
      </c>
      <c r="J444" s="215" t="str">
        <f>Table18[[#This Row],[ITEM NAME]]</f>
        <v>FRIENZY STICK KETAN KEJU 130gr</v>
      </c>
      <c r="K444" s="217"/>
    </row>
    <row r="445" spans="1:11" s="219" customFormat="1" hidden="1">
      <c r="A445" s="214" t="s">
        <v>40</v>
      </c>
      <c r="B445" s="214" t="s">
        <v>41</v>
      </c>
      <c r="C445" s="156">
        <v>988100709</v>
      </c>
      <c r="D445" s="102" t="s">
        <v>236</v>
      </c>
      <c r="E445" s="216"/>
      <c r="G445" s="214" t="str">
        <f>Table18[[#This Row],[KATEGORI]]</f>
        <v>ACCS MOBIL</v>
      </c>
      <c r="H445" s="214" t="str">
        <f>Table18[[#This Row],[TYPE]]</f>
        <v>CONSIGNMENT</v>
      </c>
      <c r="I445" s="215">
        <f>Table18[[#This Row],[ITEM CODE]]</f>
        <v>988100709</v>
      </c>
      <c r="J445" s="215" t="str">
        <f>Table18[[#This Row],[ITEM NAME]]</f>
        <v>TISSUE BASAH MINI 8 SHEETS</v>
      </c>
      <c r="K445" s="217"/>
    </row>
    <row r="446" spans="1:11" s="219" customFormat="1" hidden="1">
      <c r="A446" s="214" t="s">
        <v>25</v>
      </c>
      <c r="B446" s="214" t="s">
        <v>7</v>
      </c>
      <c r="C446" s="156">
        <v>988100716</v>
      </c>
      <c r="D446" s="102" t="s">
        <v>244</v>
      </c>
      <c r="E446" s="216"/>
      <c r="G446" s="214" t="str">
        <f>Table18[[#This Row],[KATEGORI]]</f>
        <v>SNACK</v>
      </c>
      <c r="H446" s="214" t="str">
        <f>Table18[[#This Row],[TYPE]]</f>
        <v>RETAIL</v>
      </c>
      <c r="I446" s="215">
        <f>Table18[[#This Row],[ITEM CODE]]</f>
        <v>988100716</v>
      </c>
      <c r="J446" s="215" t="str">
        <f>Table18[[#This Row],[ITEM NAME]]</f>
        <v>HIMALAYA SALT LEMON CANDY 15gr</v>
      </c>
      <c r="K446" s="217"/>
    </row>
    <row r="447" spans="1:11" s="219" customFormat="1" hidden="1">
      <c r="A447" s="214" t="s">
        <v>25</v>
      </c>
      <c r="B447" s="214" t="s">
        <v>7</v>
      </c>
      <c r="C447" s="156">
        <v>988100717</v>
      </c>
      <c r="D447" s="238" t="s">
        <v>562</v>
      </c>
      <c r="E447" s="216"/>
      <c r="G447" s="214" t="str">
        <f>Table18[[#This Row],[KATEGORI]]</f>
        <v>SNACK</v>
      </c>
      <c r="H447" s="214" t="str">
        <f>Table18[[#This Row],[TYPE]]</f>
        <v>RETAIL</v>
      </c>
      <c r="I447" s="215">
        <f>Table18[[#This Row],[ITEM CODE]]</f>
        <v>988100717</v>
      </c>
      <c r="J447" s="215" t="str">
        <f>Table18[[#This Row],[ITEM NAME]]</f>
        <v>Nextar Choco Brownies 10gr</v>
      </c>
      <c r="K447" s="217"/>
    </row>
    <row r="448" spans="1:11" s="219" customFormat="1" hidden="1">
      <c r="A448" s="214" t="s">
        <v>25</v>
      </c>
      <c r="B448" s="214" t="s">
        <v>7</v>
      </c>
      <c r="C448" s="156">
        <v>988100718</v>
      </c>
      <c r="D448" s="238" t="s">
        <v>563</v>
      </c>
      <c r="E448" s="216"/>
      <c r="G448" s="214" t="str">
        <f>Table18[[#This Row],[KATEGORI]]</f>
        <v>SNACK</v>
      </c>
      <c r="H448" s="214" t="str">
        <f>Table18[[#This Row],[TYPE]]</f>
        <v>RETAIL</v>
      </c>
      <c r="I448" s="215">
        <f>Table18[[#This Row],[ITEM CODE]]</f>
        <v>988100718</v>
      </c>
      <c r="J448" s="215" t="str">
        <f>Table18[[#This Row],[ITEM NAME]]</f>
        <v>Nextar Pineaple 10gr</v>
      </c>
      <c r="K448" s="217"/>
    </row>
    <row r="449" spans="1:11" s="219" customFormat="1" hidden="1">
      <c r="A449" s="214" t="s">
        <v>25</v>
      </c>
      <c r="B449" s="214" t="s">
        <v>7</v>
      </c>
      <c r="C449" s="156">
        <v>988100719</v>
      </c>
      <c r="D449" s="238" t="s">
        <v>564</v>
      </c>
      <c r="E449" s="216"/>
      <c r="G449" s="214" t="str">
        <f>Table18[[#This Row],[KATEGORI]]</f>
        <v>SNACK</v>
      </c>
      <c r="H449" s="214" t="str">
        <f>Table18[[#This Row],[TYPE]]</f>
        <v>RETAIL</v>
      </c>
      <c r="I449" s="215">
        <f>Table18[[#This Row],[ITEM CODE]]</f>
        <v>988100719</v>
      </c>
      <c r="J449" s="215" t="str">
        <f>Table18[[#This Row],[ITEM NAME]]</f>
        <v>MR.Potato Rendang Kaleng 35gr</v>
      </c>
      <c r="K449" s="217"/>
    </row>
    <row r="450" spans="1:11" s="219" customFormat="1" hidden="1">
      <c r="A450" s="214" t="s">
        <v>25</v>
      </c>
      <c r="B450" s="214" t="s">
        <v>7</v>
      </c>
      <c r="C450" s="156">
        <v>988100721</v>
      </c>
      <c r="D450" s="238" t="s">
        <v>567</v>
      </c>
      <c r="E450" s="216"/>
      <c r="G450" s="214" t="str">
        <f>Table18[[#This Row],[KATEGORI]]</f>
        <v>SNACK</v>
      </c>
      <c r="H450" s="214" t="str">
        <f>Table18[[#This Row],[TYPE]]</f>
        <v>RETAIL</v>
      </c>
      <c r="I450" s="215">
        <f>Table18[[#This Row],[ITEM CODE]]</f>
        <v>988100721</v>
      </c>
      <c r="J450" s="215" t="str">
        <f>Table18[[#This Row],[ITEM NAME]]</f>
        <v>Oreo Chocolate Mini 20gr</v>
      </c>
      <c r="K450" s="217"/>
    </row>
    <row r="451" spans="1:11" s="219" customFormat="1" hidden="1">
      <c r="A451" s="214" t="s">
        <v>25</v>
      </c>
      <c r="B451" s="214" t="s">
        <v>7</v>
      </c>
      <c r="C451" s="156">
        <v>988100722</v>
      </c>
      <c r="D451" s="238" t="s">
        <v>269</v>
      </c>
      <c r="E451" s="216"/>
      <c r="G451" s="214" t="str">
        <f>Table18[[#This Row],[KATEGORI]]</f>
        <v>SNACK</v>
      </c>
      <c r="H451" s="214" t="str">
        <f>Table18[[#This Row],[TYPE]]</f>
        <v>RETAIL</v>
      </c>
      <c r="I451" s="215">
        <f>Table18[[#This Row],[ITEM CODE]]</f>
        <v>988100722</v>
      </c>
      <c r="J451" s="215" t="str">
        <f>Table18[[#This Row],[ITEM NAME]]</f>
        <v>Oreo Vanilla Mini 20gr</v>
      </c>
      <c r="K451" s="217"/>
    </row>
    <row r="452" spans="1:11" s="219" customFormat="1" hidden="1">
      <c r="A452" s="214" t="s">
        <v>25</v>
      </c>
      <c r="B452" s="214" t="s">
        <v>7</v>
      </c>
      <c r="C452" s="156">
        <v>988100724</v>
      </c>
      <c r="D452" s="208" t="s">
        <v>569</v>
      </c>
      <c r="E452" s="216"/>
      <c r="G452" s="214" t="str">
        <f>Table18[[#This Row],[KATEGORI]]</f>
        <v>SNACK</v>
      </c>
      <c r="H452" s="214" t="str">
        <f>Table18[[#This Row],[TYPE]]</f>
        <v>RETAIL</v>
      </c>
      <c r="I452" s="215">
        <f>Table18[[#This Row],[ITEM CODE]]</f>
        <v>988100724</v>
      </c>
      <c r="J452" s="215" t="str">
        <f>Table18[[#This Row],[ITEM NAME]]</f>
        <v>Yupi Boulicious Lychee 40gr</v>
      </c>
      <c r="K452" s="217"/>
    </row>
    <row r="453" spans="1:11" s="219" customFormat="1" hidden="1">
      <c r="A453" s="214" t="s">
        <v>25</v>
      </c>
      <c r="B453" s="214" t="s">
        <v>7</v>
      </c>
      <c r="C453" s="156">
        <v>988100723</v>
      </c>
      <c r="D453" s="238" t="s">
        <v>568</v>
      </c>
      <c r="E453" s="216"/>
      <c r="G453" s="214" t="str">
        <f>Table18[[#This Row],[KATEGORI]]</f>
        <v>SNACK</v>
      </c>
      <c r="H453" s="214" t="str">
        <f>Table18[[#This Row],[TYPE]]</f>
        <v>RETAIL</v>
      </c>
      <c r="I453" s="215">
        <f>Table18[[#This Row],[ITEM CODE]]</f>
        <v>988100723</v>
      </c>
      <c r="J453" s="215" t="str">
        <f>Table18[[#This Row],[ITEM NAME]]</f>
        <v>Yupi Boulicious Strawberry 40gr</v>
      </c>
      <c r="K453" s="217"/>
    </row>
    <row r="454" spans="1:11" s="219" customFormat="1">
      <c r="A454" s="214" t="s">
        <v>25</v>
      </c>
      <c r="B454" s="214" t="s">
        <v>41</v>
      </c>
      <c r="C454" s="156">
        <v>988100727</v>
      </c>
      <c r="D454" s="102" t="s">
        <v>245</v>
      </c>
      <c r="E454" s="216">
        <v>2</v>
      </c>
      <c r="G454" s="214" t="str">
        <f>Table18[[#This Row],[KATEGORI]]</f>
        <v>SNACK</v>
      </c>
      <c r="H454" s="214" t="str">
        <f>Table18[[#This Row],[TYPE]]</f>
        <v>CONSIGNMENT</v>
      </c>
      <c r="I454" s="215">
        <f>Table18[[#This Row],[ITEM CODE]]</f>
        <v>988100727</v>
      </c>
      <c r="J454" s="215" t="str">
        <f>Table18[[#This Row],[ITEM NAME]]</f>
        <v>MEDE TOPLES EXTRA BIG LARGE</v>
      </c>
      <c r="K454" s="217"/>
    </row>
    <row r="455" spans="1:11" s="219" customFormat="1">
      <c r="A455" s="214" t="s">
        <v>25</v>
      </c>
      <c r="B455" s="214" t="s">
        <v>7</v>
      </c>
      <c r="C455" s="156">
        <v>200033</v>
      </c>
      <c r="D455" s="102" t="s">
        <v>247</v>
      </c>
      <c r="E455" s="216">
        <v>10</v>
      </c>
      <c r="G455" s="214" t="str">
        <f>Table18[[#This Row],[KATEGORI]]</f>
        <v>SNACK</v>
      </c>
      <c r="H455" s="214" t="str">
        <f>Table18[[#This Row],[TYPE]]</f>
        <v>RETAIL</v>
      </c>
      <c r="I455" s="215">
        <f>Table18[[#This Row],[ITEM CODE]]</f>
        <v>200033</v>
      </c>
      <c r="J455" s="215" t="str">
        <f>Table18[[#This Row],[ITEM NAME]]</f>
        <v>FITBAR CHOCO 25GR</v>
      </c>
      <c r="K455" s="217"/>
    </row>
    <row r="456" spans="1:11" s="219" customFormat="1">
      <c r="A456" s="214" t="s">
        <v>25</v>
      </c>
      <c r="B456" s="214" t="s">
        <v>41</v>
      </c>
      <c r="C456" s="156">
        <v>988100737</v>
      </c>
      <c r="D456" s="102" t="s">
        <v>248</v>
      </c>
      <c r="E456" s="216">
        <v>6</v>
      </c>
      <c r="G456" s="214" t="str">
        <f>Table18[[#This Row],[KATEGORI]]</f>
        <v>SNACK</v>
      </c>
      <c r="H456" s="214" t="str">
        <f>Table18[[#This Row],[TYPE]]</f>
        <v>CONSIGNMENT</v>
      </c>
      <c r="I456" s="215">
        <f>Table18[[#This Row],[ITEM CODE]]</f>
        <v>988100737</v>
      </c>
      <c r="J456" s="215" t="str">
        <f>Table18[[#This Row],[ITEM NAME]]</f>
        <v>FRIENZY KERIPIK GETUK ORIGINAL 180g</v>
      </c>
      <c r="K456" s="217"/>
    </row>
    <row r="457" spans="1:11" s="219" customFormat="1">
      <c r="A457" s="218" t="s">
        <v>40</v>
      </c>
      <c r="B457" s="218" t="s">
        <v>41</v>
      </c>
      <c r="C457" s="156">
        <v>988100704</v>
      </c>
      <c r="D457" s="102" t="s">
        <v>231</v>
      </c>
      <c r="E457" s="216">
        <v>22</v>
      </c>
      <c r="G457" s="214" t="str">
        <f>Table18[[#This Row],[KATEGORI]]</f>
        <v>ACCS MOBIL</v>
      </c>
      <c r="H457" s="214" t="str">
        <f>Table18[[#This Row],[TYPE]]</f>
        <v>CONSIGNMENT</v>
      </c>
      <c r="I457" s="215">
        <f>Table18[[#This Row],[ITEM CODE]]</f>
        <v>988100704</v>
      </c>
      <c r="J457" s="215" t="str">
        <f>Table18[[#This Row],[ITEM NAME]]</f>
        <v>OTO GLO HYPER BLACK TIRE SHINE 165ML</v>
      </c>
      <c r="K457" s="217"/>
    </row>
    <row r="458" spans="1:11" s="219" customFormat="1" hidden="1">
      <c r="A458" s="214" t="s">
        <v>25</v>
      </c>
      <c r="B458" s="214" t="s">
        <v>7</v>
      </c>
      <c r="C458" s="156">
        <v>988100712</v>
      </c>
      <c r="D458" s="102" t="s">
        <v>250</v>
      </c>
      <c r="E458" s="216"/>
      <c r="G458" s="214" t="str">
        <f>Table18[[#This Row],[KATEGORI]]</f>
        <v>SNACK</v>
      </c>
      <c r="H458" s="214" t="str">
        <f>Table18[[#This Row],[TYPE]]</f>
        <v>RETAIL</v>
      </c>
      <c r="I458" s="215">
        <f>Table18[[#This Row],[ITEM CODE]]</f>
        <v>988100712</v>
      </c>
      <c r="J458" s="215" t="str">
        <f>Table18[[#This Row],[ITEM NAME]]</f>
        <v>FITBAR CHEESE 25GR</v>
      </c>
      <c r="K458" s="217"/>
    </row>
    <row r="459" spans="1:11" s="219" customFormat="1">
      <c r="A459" s="214" t="s">
        <v>25</v>
      </c>
      <c r="B459" s="214" t="s">
        <v>7</v>
      </c>
      <c r="C459" s="156">
        <v>200034</v>
      </c>
      <c r="D459" s="102" t="s">
        <v>252</v>
      </c>
      <c r="E459" s="216">
        <v>13</v>
      </c>
      <c r="G459" s="214" t="str">
        <f>Table18[[#This Row],[KATEGORI]]</f>
        <v>SNACK</v>
      </c>
      <c r="H459" s="214" t="str">
        <f>Table18[[#This Row],[TYPE]]</f>
        <v>RETAIL</v>
      </c>
      <c r="I459" s="215">
        <f>Table18[[#This Row],[ITEM CODE]]</f>
        <v>200034</v>
      </c>
      <c r="J459" s="215" t="str">
        <f>Table18[[#This Row],[ITEM NAME]]</f>
        <v>FITBAR FRUIT 25GR</v>
      </c>
      <c r="K459" s="217"/>
    </row>
    <row r="460" spans="1:11" s="219" customFormat="1" hidden="1">
      <c r="A460" s="218" t="s">
        <v>40</v>
      </c>
      <c r="B460" s="218" t="s">
        <v>41</v>
      </c>
      <c r="C460" s="156">
        <v>988100739</v>
      </c>
      <c r="D460" s="102" t="s">
        <v>262</v>
      </c>
      <c r="E460" s="216"/>
      <c r="G460" s="214" t="str">
        <f>Table18[[#This Row],[KATEGORI]]</f>
        <v>ACCS MOBIL</v>
      </c>
      <c r="H460" s="214" t="str">
        <f>Table18[[#This Row],[TYPE]]</f>
        <v>CONSIGNMENT</v>
      </c>
      <c r="I460" s="215">
        <f>Table18[[#This Row],[ITEM CODE]]</f>
        <v>988100739</v>
      </c>
      <c r="J460" s="215" t="str">
        <f>Table18[[#This Row],[ITEM NAME]]</f>
        <v>IDEALIFE CAR INVENTER CI-2001</v>
      </c>
      <c r="K460" s="217"/>
    </row>
    <row r="461" spans="1:11" s="219" customFormat="1">
      <c r="A461" s="218" t="s">
        <v>6</v>
      </c>
      <c r="B461" s="218" t="s">
        <v>7</v>
      </c>
      <c r="C461" s="227">
        <v>100215</v>
      </c>
      <c r="D461" s="228" t="s">
        <v>852</v>
      </c>
      <c r="E461" s="216">
        <v>25</v>
      </c>
      <c r="G461" s="214" t="str">
        <f>Table18[[#This Row],[KATEGORI]]</f>
        <v>MINUMAN</v>
      </c>
      <c r="H461" s="214" t="str">
        <f>Table18[[#This Row],[TYPE]]</f>
        <v>RETAIL</v>
      </c>
      <c r="I461" s="215">
        <f>Table18[[#This Row],[ITEM CODE]]</f>
        <v>100215</v>
      </c>
      <c r="J461" s="215" t="str">
        <f>Table18[[#This Row],[ITEM NAME]]</f>
        <v>LARUTAN CAP KAKI  3 ORIG  500ML</v>
      </c>
      <c r="K461" s="217"/>
    </row>
    <row r="462" spans="1:11" s="219" customFormat="1">
      <c r="A462" s="218" t="s">
        <v>6</v>
      </c>
      <c r="B462" s="218" t="s">
        <v>7</v>
      </c>
      <c r="C462" s="227">
        <v>100213</v>
      </c>
      <c r="D462" s="228" t="s">
        <v>587</v>
      </c>
      <c r="E462" s="216">
        <v>22</v>
      </c>
      <c r="G462" s="214" t="str">
        <f>Table18[[#This Row],[KATEGORI]]</f>
        <v>MINUMAN</v>
      </c>
      <c r="H462" s="214" t="str">
        <f>Table18[[#This Row],[TYPE]]</f>
        <v>RETAIL</v>
      </c>
      <c r="I462" s="215">
        <f>Table18[[#This Row],[ITEM CODE]]</f>
        <v>100213</v>
      </c>
      <c r="J462" s="215" t="str">
        <f>Table18[[#This Row],[ITEM NAME]]</f>
        <v>LARUTAN CAP KAKI 3 GUAVA 320ML</v>
      </c>
      <c r="K462" s="217"/>
    </row>
    <row r="463" spans="1:11" s="219" customFormat="1" hidden="1">
      <c r="A463" s="218" t="s">
        <v>6</v>
      </c>
      <c r="B463" s="218" t="s">
        <v>7</v>
      </c>
      <c r="C463" s="227">
        <v>100216</v>
      </c>
      <c r="D463" s="228" t="s">
        <v>254</v>
      </c>
      <c r="E463" s="216"/>
      <c r="G463" s="214" t="str">
        <f>Table18[[#This Row],[KATEGORI]]</f>
        <v>MINUMAN</v>
      </c>
      <c r="H463" s="214" t="str">
        <f>Table18[[#This Row],[TYPE]]</f>
        <v>RETAIL</v>
      </c>
      <c r="I463" s="215">
        <f>Table18[[#This Row],[ITEM CODE]]</f>
        <v>100216</v>
      </c>
      <c r="J463" s="215" t="str">
        <f>Table18[[#This Row],[ITEM NAME]]</f>
        <v>LARUTAN CAP KAKI 3 LECI 320ML</v>
      </c>
      <c r="K463" s="217"/>
    </row>
    <row r="464" spans="1:11" s="219" customFormat="1">
      <c r="A464" s="218" t="s">
        <v>6</v>
      </c>
      <c r="B464" s="218" t="s">
        <v>7</v>
      </c>
      <c r="C464" s="227">
        <v>100142</v>
      </c>
      <c r="D464" s="228" t="s">
        <v>256</v>
      </c>
      <c r="E464" s="216">
        <v>60</v>
      </c>
      <c r="G464" s="214" t="str">
        <f>Table18[[#This Row],[KATEGORI]]</f>
        <v>MINUMAN</v>
      </c>
      <c r="H464" s="214" t="str">
        <f>Table18[[#This Row],[TYPE]]</f>
        <v>RETAIL</v>
      </c>
      <c r="I464" s="215">
        <f>Table18[[#This Row],[ITEM CODE]]</f>
        <v>100142</v>
      </c>
      <c r="J464" s="215" t="str">
        <f>Table18[[#This Row],[ITEM NAME]]</f>
        <v>CAP PANDA GRASS JELLY 310ML</v>
      </c>
      <c r="K464" s="217"/>
    </row>
    <row r="465" spans="1:11" s="219" customFormat="1" hidden="1">
      <c r="A465" s="214" t="s">
        <v>6</v>
      </c>
      <c r="B465" s="214" t="s">
        <v>7</v>
      </c>
      <c r="C465" s="156">
        <v>988100738</v>
      </c>
      <c r="D465" s="102" t="s">
        <v>251</v>
      </c>
      <c r="E465" s="216"/>
      <c r="G465" s="214" t="str">
        <f>Table18[[#This Row],[KATEGORI]]</f>
        <v>MINUMAN</v>
      </c>
      <c r="H465" s="214" t="str">
        <f>Table18[[#This Row],[TYPE]]</f>
        <v>RETAIL</v>
      </c>
      <c r="I465" s="215">
        <f>Table18[[#This Row],[ITEM CODE]]</f>
        <v>988100738</v>
      </c>
      <c r="J465" s="215" t="str">
        <f>Table18[[#This Row],[ITEM NAME]]</f>
        <v>SPARK LYCHEE PUNCH 250ML</v>
      </c>
      <c r="K465" s="217"/>
    </row>
    <row r="466" spans="1:11" s="219" customFormat="1" hidden="1">
      <c r="A466" s="214" t="s">
        <v>6</v>
      </c>
      <c r="B466" s="214" t="s">
        <v>7</v>
      </c>
      <c r="C466" s="239">
        <v>100201</v>
      </c>
      <c r="D466" s="239" t="s">
        <v>795</v>
      </c>
      <c r="E466" s="216"/>
      <c r="G466" s="214" t="str">
        <f>Table18[[#This Row],[KATEGORI]]</f>
        <v>MINUMAN</v>
      </c>
      <c r="H466" s="214" t="str">
        <f>Table18[[#This Row],[TYPE]]</f>
        <v>RETAIL</v>
      </c>
      <c r="I466" s="215">
        <f>Table18[[#This Row],[ITEM CODE]]</f>
        <v>100201</v>
      </c>
      <c r="J466" s="215" t="str">
        <f>Table18[[#This Row],[ITEM NAME]]</f>
        <v>FANTA STRAWBERRY CAN 390ML</v>
      </c>
      <c r="K466" s="217"/>
    </row>
    <row r="467" spans="1:11" s="219" customFormat="1">
      <c r="A467" s="218" t="s">
        <v>6</v>
      </c>
      <c r="B467" s="214" t="s">
        <v>7</v>
      </c>
      <c r="C467" s="215">
        <v>100223</v>
      </c>
      <c r="D467" s="222" t="s">
        <v>255</v>
      </c>
      <c r="E467" s="216">
        <v>18</v>
      </c>
      <c r="G467" s="214" t="str">
        <f>Table18[[#This Row],[KATEGORI]]</f>
        <v>MINUMAN</v>
      </c>
      <c r="H467" s="214" t="str">
        <f>Table18[[#This Row],[TYPE]]</f>
        <v>RETAIL</v>
      </c>
      <c r="I467" s="215">
        <f>Table18[[#This Row],[ITEM CODE]]</f>
        <v>100223</v>
      </c>
      <c r="J467" s="215" t="str">
        <f>Table18[[#This Row],[ITEM NAME]]</f>
        <v>LARUTAN CAP KAKI 3 JERUK 320ML</v>
      </c>
      <c r="K467" s="217"/>
    </row>
    <row r="468" spans="1:11" s="219" customFormat="1" hidden="1">
      <c r="A468" s="214" t="s">
        <v>40</v>
      </c>
      <c r="B468" s="214" t="s">
        <v>41</v>
      </c>
      <c r="C468" s="156">
        <v>988100746</v>
      </c>
      <c r="D468" s="102" t="s">
        <v>263</v>
      </c>
      <c r="E468" s="216"/>
      <c r="G468" s="214" t="str">
        <f>Table18[[#This Row],[KATEGORI]]</f>
        <v>ACCS MOBIL</v>
      </c>
      <c r="H468" s="214" t="str">
        <f>Table18[[#This Row],[TYPE]]</f>
        <v>CONSIGNMENT</v>
      </c>
      <c r="I468" s="215">
        <f>Table18[[#This Row],[ITEM CODE]]</f>
        <v>988100746</v>
      </c>
      <c r="J468" s="215" t="str">
        <f>Table18[[#This Row],[ITEM NAME]]</f>
        <v>OTO GLO CRYSTAL CLEAR WIFER FLUID 400ML</v>
      </c>
      <c r="K468" s="217"/>
    </row>
    <row r="469" spans="1:11" s="219" customFormat="1">
      <c r="A469" s="218"/>
      <c r="B469" s="214"/>
      <c r="C469" s="215"/>
      <c r="D469" s="230" t="s">
        <v>853</v>
      </c>
      <c r="E469" s="216">
        <v>9</v>
      </c>
      <c r="G469" s="214">
        <f>Table18[[#This Row],[KATEGORI]]</f>
        <v>0</v>
      </c>
      <c r="H469" s="214">
        <f>Table18[[#This Row],[TYPE]]</f>
        <v>0</v>
      </c>
      <c r="I469" s="215">
        <f>Table18[[#This Row],[ITEM CODE]]</f>
        <v>0</v>
      </c>
      <c r="J469" s="215" t="str">
        <f>Table18[[#This Row],[ITEM NAME]]</f>
        <v>FITBAR TIRAMISU 25GR</v>
      </c>
      <c r="K469" s="217"/>
    </row>
    <row r="470" spans="1:11" s="219" customFormat="1">
      <c r="A470" s="218"/>
      <c r="B470" s="214"/>
      <c r="C470" s="215"/>
      <c r="D470" s="230" t="s">
        <v>586</v>
      </c>
      <c r="E470" s="216">
        <v>1</v>
      </c>
      <c r="G470" s="214">
        <f>Table18[[#This Row],[KATEGORI]]</f>
        <v>0</v>
      </c>
      <c r="H470" s="214">
        <f>Table18[[#This Row],[TYPE]]</f>
        <v>0</v>
      </c>
      <c r="I470" s="215">
        <f>Table18[[#This Row],[ITEM CODE]]</f>
        <v>0</v>
      </c>
      <c r="J470" s="215" t="str">
        <f>Table18[[#This Row],[ITEM NAME]]</f>
        <v>MEDE TOPLES SMALL</v>
      </c>
      <c r="K470" s="217"/>
    </row>
    <row r="471" spans="1:11" s="219" customFormat="1">
      <c r="A471" s="218"/>
      <c r="B471" s="214"/>
      <c r="C471" s="215"/>
      <c r="D471" s="230" t="s">
        <v>854</v>
      </c>
      <c r="E471" s="216">
        <v>66</v>
      </c>
      <c r="G471" s="214">
        <f>Table18[[#This Row],[KATEGORI]]</f>
        <v>0</v>
      </c>
      <c r="H471" s="214">
        <f>Table18[[#This Row],[TYPE]]</f>
        <v>0</v>
      </c>
      <c r="I471" s="215">
        <f>Table18[[#This Row],[ITEM CODE]]</f>
        <v>0</v>
      </c>
      <c r="J471" s="215" t="str">
        <f>Table18[[#This Row],[ITEM NAME]]</f>
        <v>TISU PASEO ELEGANT</v>
      </c>
      <c r="K471" s="217"/>
    </row>
    <row r="472" spans="1:11" s="219" customFormat="1">
      <c r="A472" s="218"/>
      <c r="B472" s="214"/>
      <c r="C472" s="215"/>
      <c r="D472" s="230" t="s">
        <v>855</v>
      </c>
      <c r="E472" s="216">
        <v>24</v>
      </c>
      <c r="G472" s="214">
        <f>Table18[[#This Row],[KATEGORI]]</f>
        <v>0</v>
      </c>
      <c r="H472" s="214">
        <f>Table18[[#This Row],[TYPE]]</f>
        <v>0</v>
      </c>
      <c r="I472" s="215">
        <f>Table18[[#This Row],[ITEM CODE]]</f>
        <v>0</v>
      </c>
      <c r="J472" s="215" t="str">
        <f>Table18[[#This Row],[ITEM NAME]]</f>
        <v>KOPI KENANGAN DOUBLE EXPRESO</v>
      </c>
      <c r="K472" s="217"/>
    </row>
    <row r="473" spans="1:11" s="219" customFormat="1">
      <c r="A473" s="218"/>
      <c r="B473" s="214"/>
      <c r="C473" s="215"/>
      <c r="D473" s="230" t="s">
        <v>856</v>
      </c>
      <c r="E473" s="216">
        <v>24</v>
      </c>
      <c r="G473" s="214">
        <f>Table18[[#This Row],[KATEGORI]]</f>
        <v>0</v>
      </c>
      <c r="H473" s="214">
        <f>Table18[[#This Row],[TYPE]]</f>
        <v>0</v>
      </c>
      <c r="I473" s="215">
        <f>Table18[[#This Row],[ITEM CODE]]</f>
        <v>0</v>
      </c>
      <c r="J473" s="215" t="str">
        <f>Table18[[#This Row],[ITEM NAME]]</f>
        <v>KOPI KENANGAN CEESLATE</v>
      </c>
      <c r="K473" s="217"/>
    </row>
    <row r="474" spans="1:11" s="219" customFormat="1">
      <c r="A474" s="214"/>
      <c r="B474" s="214"/>
      <c r="C474" s="156"/>
      <c r="D474" s="102"/>
      <c r="E474" s="216"/>
      <c r="G474" s="214">
        <f>Table18[[#This Row],[KATEGORI]]</f>
        <v>0</v>
      </c>
      <c r="H474" s="214">
        <f>Table18[[#This Row],[TYPE]]</f>
        <v>0</v>
      </c>
      <c r="I474" s="215">
        <f>Table18[[#This Row],[ITEM CODE]]</f>
        <v>0</v>
      </c>
      <c r="J474" s="215" t="s">
        <v>857</v>
      </c>
      <c r="K474" s="217">
        <v>1</v>
      </c>
    </row>
    <row r="475" spans="1:11">
      <c r="A475" s="240" t="s">
        <v>274</v>
      </c>
      <c r="B475" s="240"/>
      <c r="C475" s="220"/>
      <c r="D475" s="241"/>
      <c r="E475" s="242">
        <f>SUBTOTAL(109,Table18[STOK OPNAME])</f>
        <v>2421</v>
      </c>
      <c r="G475" s="240" t="s">
        <v>274</v>
      </c>
      <c r="H475" s="240"/>
      <c r="I475" s="220"/>
      <c r="J475" s="241"/>
      <c r="K475" s="243">
        <f>SUBTOTAL(109,Table13[STOK OPNAME])</f>
        <v>540</v>
      </c>
    </row>
  </sheetData>
  <mergeCells count="2">
    <mergeCell ref="A1:E1"/>
    <mergeCell ref="G1:K1"/>
  </mergeCells>
  <conditionalFormatting sqref="D3:D262">
    <cfRule type="duplicateValues" dxfId="1110" priority="320"/>
  </conditionalFormatting>
  <conditionalFormatting sqref="D3:D269 D358:D409">
    <cfRule type="duplicateValues" dxfId="1109" priority="283"/>
  </conditionalFormatting>
  <conditionalFormatting sqref="D8">
    <cfRule type="duplicateValues" dxfId="1108" priority="326"/>
  </conditionalFormatting>
  <conditionalFormatting sqref="D32">
    <cfRule type="duplicateValues" dxfId="1107" priority="327"/>
  </conditionalFormatting>
  <conditionalFormatting sqref="D105">
    <cfRule type="duplicateValues" dxfId="1106" priority="281"/>
  </conditionalFormatting>
  <conditionalFormatting sqref="D110">
    <cfRule type="duplicateValues" dxfId="1105" priority="280"/>
  </conditionalFormatting>
  <conditionalFormatting sqref="D178">
    <cfRule type="duplicateValues" dxfId="1104" priority="279"/>
  </conditionalFormatting>
  <conditionalFormatting sqref="D201:D208">
    <cfRule type="duplicateValues" dxfId="1103" priority="323"/>
  </conditionalFormatting>
  <conditionalFormatting sqref="D202:D208">
    <cfRule type="duplicateValues" dxfId="1102" priority="322"/>
  </conditionalFormatting>
  <conditionalFormatting sqref="D209:D244">
    <cfRule type="duplicateValues" dxfId="1101" priority="321"/>
  </conditionalFormatting>
  <conditionalFormatting sqref="D230">
    <cfRule type="duplicateValues" dxfId="1100" priority="282"/>
  </conditionalFormatting>
  <conditionalFormatting sqref="D245 D247:D262">
    <cfRule type="duplicateValues" dxfId="1099" priority="325"/>
  </conditionalFormatting>
  <conditionalFormatting sqref="D259:D262">
    <cfRule type="duplicateValues" dxfId="1098" priority="324"/>
  </conditionalFormatting>
  <conditionalFormatting sqref="D260:D262">
    <cfRule type="duplicateValues" dxfId="1097" priority="319"/>
  </conditionalFormatting>
  <conditionalFormatting sqref="D265:D267">
    <cfRule type="duplicateValues" dxfId="1096" priority="318"/>
  </conditionalFormatting>
  <conditionalFormatting sqref="D266:D267">
    <cfRule type="duplicateValues" dxfId="1095" priority="317"/>
  </conditionalFormatting>
  <conditionalFormatting sqref="D267">
    <cfRule type="duplicateValues" dxfId="1094" priority="316"/>
  </conditionalFormatting>
  <conditionalFormatting sqref="D270">
    <cfRule type="duplicateValues" dxfId="1093" priority="315"/>
  </conditionalFormatting>
  <conditionalFormatting sqref="D273:D279">
    <cfRule type="duplicateValues" dxfId="1092" priority="314"/>
  </conditionalFormatting>
  <conditionalFormatting sqref="D274:D279">
    <cfRule type="duplicateValues" dxfId="1091" priority="278"/>
  </conditionalFormatting>
  <conditionalFormatting sqref="D275:D279">
    <cfRule type="duplicateValues" dxfId="1090" priority="313"/>
  </conditionalFormatting>
  <conditionalFormatting sqref="D276:D279">
    <cfRule type="duplicateValues" dxfId="1089" priority="312"/>
  </conditionalFormatting>
  <conditionalFormatting sqref="D277:D279">
    <cfRule type="duplicateValues" dxfId="1088" priority="311"/>
  </conditionalFormatting>
  <conditionalFormatting sqref="D278">
    <cfRule type="duplicateValues" dxfId="1087" priority="277"/>
  </conditionalFormatting>
  <conditionalFormatting sqref="D281:D282">
    <cfRule type="duplicateValues" dxfId="1086" priority="310"/>
  </conditionalFormatting>
  <conditionalFormatting sqref="D282">
    <cfRule type="duplicateValues" dxfId="1085" priority="309"/>
  </conditionalFormatting>
  <conditionalFormatting sqref="D283:D284">
    <cfRule type="duplicateValues" dxfId="1084" priority="276"/>
  </conditionalFormatting>
  <conditionalFormatting sqref="D284:D381">
    <cfRule type="duplicateValues" dxfId="1083" priority="308"/>
  </conditionalFormatting>
  <conditionalFormatting sqref="D286">
    <cfRule type="duplicateValues" dxfId="1082" priority="275"/>
  </conditionalFormatting>
  <conditionalFormatting sqref="D321:D336">
    <cfRule type="duplicateValues" dxfId="1081" priority="274"/>
  </conditionalFormatting>
  <conditionalFormatting sqref="D322:D336">
    <cfRule type="duplicateValues" dxfId="1080" priority="273"/>
  </conditionalFormatting>
  <conditionalFormatting sqref="D323">
    <cfRule type="duplicateValues" dxfId="1079" priority="272"/>
  </conditionalFormatting>
  <conditionalFormatting sqref="D324:D336">
    <cfRule type="duplicateValues" dxfId="1078" priority="271"/>
  </conditionalFormatting>
  <conditionalFormatting sqref="D325:D336">
    <cfRule type="duplicateValues" dxfId="1077" priority="270"/>
  </conditionalFormatting>
  <conditionalFormatting sqref="D326:D336">
    <cfRule type="duplicateValues" dxfId="1076" priority="269"/>
  </conditionalFormatting>
  <conditionalFormatting sqref="D328">
    <cfRule type="duplicateValues" dxfId="1075" priority="268"/>
  </conditionalFormatting>
  <conditionalFormatting sqref="D329:D336">
    <cfRule type="duplicateValues" dxfId="1074" priority="267"/>
  </conditionalFormatting>
  <conditionalFormatting sqref="D334:D336">
    <cfRule type="duplicateValues" dxfId="1073" priority="266"/>
  </conditionalFormatting>
  <conditionalFormatting sqref="D335:D336">
    <cfRule type="duplicateValues" dxfId="1072" priority="265"/>
  </conditionalFormatting>
  <conditionalFormatting sqref="D336">
    <cfRule type="duplicateValues" dxfId="1071" priority="264"/>
  </conditionalFormatting>
  <conditionalFormatting sqref="D352:D357">
    <cfRule type="duplicateValues" dxfId="1070" priority="263"/>
  </conditionalFormatting>
  <conditionalFormatting sqref="D354:D357">
    <cfRule type="duplicateValues" dxfId="1069" priority="262"/>
  </conditionalFormatting>
  <conditionalFormatting sqref="D355">
    <cfRule type="duplicateValues" dxfId="1068" priority="260"/>
  </conditionalFormatting>
  <conditionalFormatting sqref="D355:D357">
    <cfRule type="duplicateValues" dxfId="1067" priority="261"/>
  </conditionalFormatting>
  <conditionalFormatting sqref="D356">
    <cfRule type="duplicateValues" dxfId="1066" priority="259"/>
  </conditionalFormatting>
  <conditionalFormatting sqref="D357">
    <cfRule type="duplicateValues" dxfId="1065" priority="258"/>
  </conditionalFormatting>
  <conditionalFormatting sqref="D367:D381">
    <cfRule type="duplicateValues" dxfId="1064" priority="307"/>
  </conditionalFormatting>
  <conditionalFormatting sqref="D368:D381">
    <cfRule type="duplicateValues" dxfId="1063" priority="306"/>
  </conditionalFormatting>
  <conditionalFormatting sqref="D369:D381">
    <cfRule type="duplicateValues" dxfId="1062" priority="305"/>
  </conditionalFormatting>
  <conditionalFormatting sqref="D371">
    <cfRule type="duplicateValues" dxfId="1061" priority="303"/>
  </conditionalFormatting>
  <conditionalFormatting sqref="D371:D374">
    <cfRule type="duplicateValues" dxfId="1060" priority="301"/>
  </conditionalFormatting>
  <conditionalFormatting sqref="D371:D381">
    <cfRule type="duplicateValues" dxfId="1059" priority="304"/>
  </conditionalFormatting>
  <conditionalFormatting sqref="D372:D374">
    <cfRule type="duplicateValues" dxfId="1058" priority="300"/>
  </conditionalFormatting>
  <conditionalFormatting sqref="D372:D381">
    <cfRule type="duplicateValues" dxfId="1057" priority="302"/>
  </conditionalFormatting>
  <conditionalFormatting sqref="D376:D381">
    <cfRule type="duplicateValues" dxfId="1056" priority="299"/>
  </conditionalFormatting>
  <conditionalFormatting sqref="D377:D381">
    <cfRule type="duplicateValues" dxfId="1055" priority="298"/>
  </conditionalFormatting>
  <conditionalFormatting sqref="D377:D409">
    <cfRule type="duplicateValues" dxfId="1054" priority="257"/>
  </conditionalFormatting>
  <conditionalFormatting sqref="D378:D381">
    <cfRule type="duplicateValues" dxfId="1053" priority="297"/>
  </conditionalFormatting>
  <conditionalFormatting sqref="D378:D409">
    <cfRule type="duplicateValues" dxfId="1052" priority="256"/>
  </conditionalFormatting>
  <conditionalFormatting sqref="D379:D381">
    <cfRule type="duplicateValues" dxfId="1051" priority="296"/>
  </conditionalFormatting>
  <conditionalFormatting sqref="D380:D381">
    <cfRule type="duplicateValues" dxfId="1050" priority="295"/>
  </conditionalFormatting>
  <conditionalFormatting sqref="D380:D409">
    <cfRule type="duplicateValues" dxfId="1049" priority="255"/>
  </conditionalFormatting>
  <conditionalFormatting sqref="D381">
    <cfRule type="duplicateValues" dxfId="1048" priority="294"/>
  </conditionalFormatting>
  <conditionalFormatting sqref="D381:D409">
    <cfRule type="duplicateValues" dxfId="1047" priority="254"/>
  </conditionalFormatting>
  <conditionalFormatting sqref="D383:D409">
    <cfRule type="duplicateValues" dxfId="1046" priority="253"/>
  </conditionalFormatting>
  <conditionalFormatting sqref="D385">
    <cfRule type="duplicateValues" dxfId="1045" priority="252"/>
  </conditionalFormatting>
  <conditionalFormatting sqref="D387:D409">
    <cfRule type="duplicateValues" dxfId="1044" priority="251"/>
  </conditionalFormatting>
  <conditionalFormatting sqref="D388:D409">
    <cfRule type="duplicateValues" dxfId="1043" priority="250"/>
  </conditionalFormatting>
  <conditionalFormatting sqref="D389">
    <cfRule type="duplicateValues" dxfId="1042" priority="249"/>
  </conditionalFormatting>
  <conditionalFormatting sqref="D390">
    <cfRule type="duplicateValues" dxfId="1041" priority="248"/>
  </conditionalFormatting>
  <conditionalFormatting sqref="D391:D409">
    <cfRule type="duplicateValues" dxfId="1040" priority="247"/>
  </conditionalFormatting>
  <conditionalFormatting sqref="D392">
    <cfRule type="duplicateValues" dxfId="1039" priority="246"/>
  </conditionalFormatting>
  <conditionalFormatting sqref="D396:D409">
    <cfRule type="duplicateValues" dxfId="1038" priority="245"/>
  </conditionalFormatting>
  <conditionalFormatting sqref="D397:D402">
    <cfRule type="duplicateValues" dxfId="1037" priority="293"/>
  </conditionalFormatting>
  <conditionalFormatting sqref="D397:D409">
    <cfRule type="duplicateValues" dxfId="1036" priority="244"/>
  </conditionalFormatting>
  <conditionalFormatting sqref="D398:D409">
    <cfRule type="duplicateValues" dxfId="1035" priority="243"/>
  </conditionalFormatting>
  <conditionalFormatting sqref="D399">
    <cfRule type="duplicateValues" dxfId="1034" priority="242"/>
  </conditionalFormatting>
  <conditionalFormatting sqref="D399:D400">
    <cfRule type="duplicateValues" dxfId="1033" priority="241"/>
  </conditionalFormatting>
  <conditionalFormatting sqref="D399:D402">
    <cfRule type="duplicateValues" dxfId="1032" priority="292"/>
  </conditionalFormatting>
  <conditionalFormatting sqref="D400">
    <cfRule type="duplicateValues" dxfId="1031" priority="290"/>
  </conditionalFormatting>
  <conditionalFormatting sqref="D400:D402">
    <cfRule type="duplicateValues" dxfId="1030" priority="291"/>
  </conditionalFormatting>
  <conditionalFormatting sqref="D401">
    <cfRule type="duplicateValues" dxfId="1029" priority="289"/>
  </conditionalFormatting>
  <conditionalFormatting sqref="D401:D409">
    <cfRule type="duplicateValues" dxfId="1028" priority="240"/>
  </conditionalFormatting>
  <conditionalFormatting sqref="D402">
    <cfRule type="duplicateValues" dxfId="1027" priority="288"/>
  </conditionalFormatting>
  <conditionalFormatting sqref="D403">
    <cfRule type="duplicateValues" dxfId="1026" priority="287"/>
  </conditionalFormatting>
  <conditionalFormatting sqref="D403:D409">
    <cfRule type="duplicateValues" dxfId="1025" priority="328"/>
  </conditionalFormatting>
  <conditionalFormatting sqref="D404">
    <cfRule type="duplicateValues" dxfId="1024" priority="286"/>
  </conditionalFormatting>
  <conditionalFormatting sqref="D405">
    <cfRule type="duplicateValues" dxfId="1023" priority="285"/>
  </conditionalFormatting>
  <conditionalFormatting sqref="D406">
    <cfRule type="duplicateValues" dxfId="1022" priority="284"/>
  </conditionalFormatting>
  <conditionalFormatting sqref="D407:D409">
    <cfRule type="duplicateValues" dxfId="1021" priority="239"/>
  </conditionalFormatting>
  <conditionalFormatting sqref="D413:D415">
    <cfRule type="duplicateValues" dxfId="1020" priority="238"/>
  </conditionalFormatting>
  <conditionalFormatting sqref="D422:D425">
    <cfRule type="duplicateValues" dxfId="1019" priority="237"/>
  </conditionalFormatting>
  <conditionalFormatting sqref="D423:D425">
    <cfRule type="duplicateValues" dxfId="1018" priority="236"/>
  </conditionalFormatting>
  <conditionalFormatting sqref="D433">
    <cfRule type="duplicateValues" dxfId="1017" priority="235"/>
  </conditionalFormatting>
  <conditionalFormatting sqref="D461">
    <cfRule type="duplicateValues" dxfId="1016" priority="234"/>
    <cfRule type="duplicateValues" dxfId="1015" priority="233"/>
    <cfRule type="duplicateValues" dxfId="1014" priority="232"/>
    <cfRule type="duplicateValues" dxfId="1013" priority="231"/>
  </conditionalFormatting>
  <conditionalFormatting sqref="D462">
    <cfRule type="duplicateValues" dxfId="1012" priority="230"/>
    <cfRule type="duplicateValues" dxfId="1011" priority="229"/>
    <cfRule type="duplicateValues" dxfId="1010" priority="228"/>
    <cfRule type="duplicateValues" dxfId="1009" priority="227"/>
  </conditionalFormatting>
  <conditionalFormatting sqref="D463">
    <cfRule type="duplicateValues" dxfId="1008" priority="226"/>
    <cfRule type="duplicateValues" dxfId="1007" priority="225"/>
    <cfRule type="duplicateValues" dxfId="1006" priority="224"/>
    <cfRule type="duplicateValues" dxfId="1005" priority="223"/>
  </conditionalFormatting>
  <conditionalFormatting sqref="D464">
    <cfRule type="duplicateValues" dxfId="1004" priority="222"/>
    <cfRule type="duplicateValues" dxfId="1003" priority="221"/>
    <cfRule type="duplicateValues" dxfId="1002" priority="220"/>
  </conditionalFormatting>
  <conditionalFormatting sqref="D467 D469:D473">
    <cfRule type="duplicateValues" dxfId="1001" priority="219"/>
  </conditionalFormatting>
  <conditionalFormatting sqref="J3:J474">
    <cfRule type="duplicateValues" dxfId="1000" priority="218"/>
  </conditionalFormatting>
  <conditionalFormatting sqref="J8">
    <cfRule type="duplicateValues" dxfId="999" priority="217"/>
  </conditionalFormatting>
  <conditionalFormatting sqref="J32">
    <cfRule type="duplicateValues" dxfId="998" priority="216"/>
  </conditionalFormatting>
  <conditionalFormatting sqref="J105">
    <cfRule type="duplicateValues" dxfId="997" priority="215"/>
  </conditionalFormatting>
  <conditionalFormatting sqref="J110">
    <cfRule type="duplicateValues" dxfId="996" priority="214"/>
  </conditionalFormatting>
  <conditionalFormatting sqref="J178">
    <cfRule type="duplicateValues" dxfId="995" priority="213"/>
  </conditionalFormatting>
  <conditionalFormatting sqref="J201:J208">
    <cfRule type="duplicateValues" dxfId="994" priority="212"/>
  </conditionalFormatting>
  <conditionalFormatting sqref="J202:J208">
    <cfRule type="duplicateValues" dxfId="993" priority="211"/>
  </conditionalFormatting>
  <conditionalFormatting sqref="J209:J244">
    <cfRule type="duplicateValues" dxfId="992" priority="210"/>
  </conditionalFormatting>
  <conditionalFormatting sqref="J230">
    <cfRule type="duplicateValues" dxfId="991" priority="209"/>
  </conditionalFormatting>
  <conditionalFormatting sqref="J245 J247:J262">
    <cfRule type="duplicateValues" dxfId="990" priority="208"/>
  </conditionalFormatting>
  <conditionalFormatting sqref="J259:J262">
    <cfRule type="duplicateValues" dxfId="989" priority="207"/>
  </conditionalFormatting>
  <conditionalFormatting sqref="J260:J262">
    <cfRule type="duplicateValues" dxfId="988" priority="206"/>
  </conditionalFormatting>
  <conditionalFormatting sqref="J265:J267">
    <cfRule type="duplicateValues" dxfId="987" priority="205"/>
  </conditionalFormatting>
  <conditionalFormatting sqref="J266:J267">
    <cfRule type="duplicateValues" dxfId="986" priority="204"/>
  </conditionalFormatting>
  <conditionalFormatting sqref="J267">
    <cfRule type="duplicateValues" dxfId="985" priority="203"/>
  </conditionalFormatting>
  <conditionalFormatting sqref="J270">
    <cfRule type="duplicateValues" dxfId="984" priority="202"/>
  </conditionalFormatting>
  <conditionalFormatting sqref="J273:J279">
    <cfRule type="duplicateValues" dxfId="983" priority="201"/>
  </conditionalFormatting>
  <conditionalFormatting sqref="J274:J279">
    <cfRule type="duplicateValues" dxfId="982" priority="200"/>
  </conditionalFormatting>
  <conditionalFormatting sqref="J275:J279">
    <cfRule type="duplicateValues" dxfId="981" priority="199"/>
  </conditionalFormatting>
  <conditionalFormatting sqref="J276:J279">
    <cfRule type="duplicateValues" dxfId="980" priority="198"/>
  </conditionalFormatting>
  <conditionalFormatting sqref="J277:J279">
    <cfRule type="duplicateValues" dxfId="979" priority="197"/>
  </conditionalFormatting>
  <conditionalFormatting sqref="J278">
    <cfRule type="duplicateValues" dxfId="978" priority="196"/>
  </conditionalFormatting>
  <conditionalFormatting sqref="J281:J282">
    <cfRule type="duplicateValues" dxfId="977" priority="195"/>
  </conditionalFormatting>
  <conditionalFormatting sqref="J282">
    <cfRule type="duplicateValues" dxfId="976" priority="194"/>
  </conditionalFormatting>
  <conditionalFormatting sqref="J283:J284">
    <cfRule type="duplicateValues" dxfId="975" priority="193"/>
  </conditionalFormatting>
  <conditionalFormatting sqref="J284:J381">
    <cfRule type="duplicateValues" dxfId="974" priority="192"/>
  </conditionalFormatting>
  <conditionalFormatting sqref="J286">
    <cfRule type="duplicateValues" dxfId="973" priority="191"/>
  </conditionalFormatting>
  <conditionalFormatting sqref="J321:J336">
    <cfRule type="duplicateValues" dxfId="972" priority="190"/>
  </conditionalFormatting>
  <conditionalFormatting sqref="J322:J336">
    <cfRule type="duplicateValues" dxfId="971" priority="189"/>
  </conditionalFormatting>
  <conditionalFormatting sqref="J323">
    <cfRule type="duplicateValues" dxfId="970" priority="188"/>
  </conditionalFormatting>
  <conditionalFormatting sqref="J324:J336">
    <cfRule type="duplicateValues" dxfId="969" priority="187"/>
  </conditionalFormatting>
  <conditionalFormatting sqref="J325:J336">
    <cfRule type="duplicateValues" dxfId="968" priority="186"/>
  </conditionalFormatting>
  <conditionalFormatting sqref="J326:J336">
    <cfRule type="duplicateValues" dxfId="967" priority="185"/>
  </conditionalFormatting>
  <conditionalFormatting sqref="J328">
    <cfRule type="duplicateValues" dxfId="966" priority="184"/>
  </conditionalFormatting>
  <conditionalFormatting sqref="J329:J336">
    <cfRule type="duplicateValues" dxfId="965" priority="183"/>
  </conditionalFormatting>
  <conditionalFormatting sqref="J334:J336">
    <cfRule type="duplicateValues" dxfId="964" priority="182"/>
  </conditionalFormatting>
  <conditionalFormatting sqref="J335:J336">
    <cfRule type="duplicateValues" dxfId="963" priority="181"/>
  </conditionalFormatting>
  <conditionalFormatting sqref="J336">
    <cfRule type="duplicateValues" dxfId="962" priority="180"/>
  </conditionalFormatting>
  <conditionalFormatting sqref="J352:J357">
    <cfRule type="duplicateValues" dxfId="961" priority="179"/>
  </conditionalFormatting>
  <conditionalFormatting sqref="J354:J357">
    <cfRule type="duplicateValues" dxfId="960" priority="178"/>
  </conditionalFormatting>
  <conditionalFormatting sqref="J355">
    <cfRule type="duplicateValues" dxfId="959" priority="177"/>
  </conditionalFormatting>
  <conditionalFormatting sqref="J355:J357">
    <cfRule type="duplicateValues" dxfId="958" priority="176"/>
  </conditionalFormatting>
  <conditionalFormatting sqref="J356">
    <cfRule type="duplicateValues" dxfId="957" priority="175"/>
  </conditionalFormatting>
  <conditionalFormatting sqref="J357">
    <cfRule type="duplicateValues" dxfId="956" priority="174"/>
  </conditionalFormatting>
  <conditionalFormatting sqref="J367:J381">
    <cfRule type="duplicateValues" dxfId="955" priority="173"/>
  </conditionalFormatting>
  <conditionalFormatting sqref="J368:J381">
    <cfRule type="duplicateValues" dxfId="954" priority="172"/>
  </conditionalFormatting>
  <conditionalFormatting sqref="J369:J381">
    <cfRule type="duplicateValues" dxfId="953" priority="171"/>
  </conditionalFormatting>
  <conditionalFormatting sqref="J371">
    <cfRule type="duplicateValues" dxfId="952" priority="170"/>
  </conditionalFormatting>
  <conditionalFormatting sqref="J371:J374">
    <cfRule type="duplicateValues" dxfId="951" priority="169"/>
  </conditionalFormatting>
  <conditionalFormatting sqref="J371:J381">
    <cfRule type="duplicateValues" dxfId="950" priority="168"/>
  </conditionalFormatting>
  <conditionalFormatting sqref="J372:J374">
    <cfRule type="duplicateValues" dxfId="949" priority="167"/>
  </conditionalFormatting>
  <conditionalFormatting sqref="J372:J381">
    <cfRule type="duplicateValues" dxfId="948" priority="166"/>
  </conditionalFormatting>
  <conditionalFormatting sqref="J376:J381">
    <cfRule type="duplicateValues" dxfId="947" priority="165"/>
  </conditionalFormatting>
  <conditionalFormatting sqref="J377:J381">
    <cfRule type="duplicateValues" dxfId="946" priority="164"/>
  </conditionalFormatting>
  <conditionalFormatting sqref="J377:J409">
    <cfRule type="duplicateValues" dxfId="945" priority="163"/>
  </conditionalFormatting>
  <conditionalFormatting sqref="J378:J381">
    <cfRule type="duplicateValues" dxfId="944" priority="162"/>
  </conditionalFormatting>
  <conditionalFormatting sqref="J378:J409">
    <cfRule type="duplicateValues" dxfId="943" priority="161"/>
  </conditionalFormatting>
  <conditionalFormatting sqref="J379:J381">
    <cfRule type="duplicateValues" dxfId="942" priority="160"/>
  </conditionalFormatting>
  <conditionalFormatting sqref="J380:J381">
    <cfRule type="duplicateValues" dxfId="941" priority="159"/>
  </conditionalFormatting>
  <conditionalFormatting sqref="J380:J409">
    <cfRule type="duplicateValues" dxfId="940" priority="158"/>
  </conditionalFormatting>
  <conditionalFormatting sqref="J381">
    <cfRule type="duplicateValues" dxfId="939" priority="157"/>
  </conditionalFormatting>
  <conditionalFormatting sqref="J381:J409">
    <cfRule type="duplicateValues" dxfId="938" priority="156"/>
  </conditionalFormatting>
  <conditionalFormatting sqref="J383:J409">
    <cfRule type="duplicateValues" dxfId="937" priority="155"/>
  </conditionalFormatting>
  <conditionalFormatting sqref="J385">
    <cfRule type="duplicateValues" dxfId="936" priority="154"/>
  </conditionalFormatting>
  <conditionalFormatting sqref="J387:J409">
    <cfRule type="duplicateValues" dxfId="935" priority="153"/>
  </conditionalFormatting>
  <conditionalFormatting sqref="J388:J409">
    <cfRule type="duplicateValues" dxfId="934" priority="152"/>
  </conditionalFormatting>
  <conditionalFormatting sqref="J389">
    <cfRule type="duplicateValues" dxfId="933" priority="151"/>
  </conditionalFormatting>
  <conditionalFormatting sqref="J390">
    <cfRule type="duplicateValues" dxfId="932" priority="150"/>
  </conditionalFormatting>
  <conditionalFormatting sqref="J391:J409">
    <cfRule type="duplicateValues" dxfId="931" priority="149"/>
  </conditionalFormatting>
  <conditionalFormatting sqref="J392">
    <cfRule type="duplicateValues" dxfId="930" priority="148"/>
  </conditionalFormatting>
  <conditionalFormatting sqref="J396:J409">
    <cfRule type="duplicateValues" dxfId="929" priority="147"/>
  </conditionalFormatting>
  <conditionalFormatting sqref="J397:J402">
    <cfRule type="duplicateValues" dxfId="928" priority="146"/>
  </conditionalFormatting>
  <conditionalFormatting sqref="J397:J409">
    <cfRule type="duplicateValues" dxfId="927" priority="145"/>
  </conditionalFormatting>
  <conditionalFormatting sqref="J398:J409">
    <cfRule type="duplicateValues" dxfId="926" priority="144"/>
  </conditionalFormatting>
  <conditionalFormatting sqref="J399">
    <cfRule type="duplicateValues" dxfId="925" priority="143"/>
  </conditionalFormatting>
  <conditionalFormatting sqref="J399:J400">
    <cfRule type="duplicateValues" dxfId="924" priority="142"/>
  </conditionalFormatting>
  <conditionalFormatting sqref="J399:J402">
    <cfRule type="duplicateValues" dxfId="923" priority="141"/>
  </conditionalFormatting>
  <conditionalFormatting sqref="J400">
    <cfRule type="duplicateValues" dxfId="922" priority="140"/>
  </conditionalFormatting>
  <conditionalFormatting sqref="J400:J402">
    <cfRule type="duplicateValues" dxfId="921" priority="139"/>
  </conditionalFormatting>
  <conditionalFormatting sqref="J401">
    <cfRule type="duplicateValues" dxfId="920" priority="138"/>
  </conditionalFormatting>
  <conditionalFormatting sqref="J401:J409">
    <cfRule type="duplicateValues" dxfId="919" priority="137"/>
  </conditionalFormatting>
  <conditionalFormatting sqref="J402">
    <cfRule type="duplicateValues" dxfId="918" priority="136"/>
  </conditionalFormatting>
  <conditionalFormatting sqref="J403">
    <cfRule type="duplicateValues" dxfId="917" priority="135"/>
  </conditionalFormatting>
  <conditionalFormatting sqref="J403:J409">
    <cfRule type="duplicateValues" dxfId="916" priority="134"/>
  </conditionalFormatting>
  <conditionalFormatting sqref="J404">
    <cfRule type="duplicateValues" dxfId="915" priority="133"/>
  </conditionalFormatting>
  <conditionalFormatting sqref="J405">
    <cfRule type="duplicateValues" dxfId="914" priority="132"/>
  </conditionalFormatting>
  <conditionalFormatting sqref="J406">
    <cfRule type="duplicateValues" dxfId="913" priority="131"/>
  </conditionalFormatting>
  <conditionalFormatting sqref="J407:J409">
    <cfRule type="duplicateValues" dxfId="912" priority="130"/>
  </conditionalFormatting>
  <conditionalFormatting sqref="J413:J415">
    <cfRule type="duplicateValues" dxfId="911" priority="129"/>
  </conditionalFormatting>
  <conditionalFormatting sqref="J422:J425">
    <cfRule type="duplicateValues" dxfId="910" priority="128"/>
  </conditionalFormatting>
  <conditionalFormatting sqref="J423:J425">
    <cfRule type="duplicateValues" dxfId="909" priority="127"/>
  </conditionalFormatting>
  <conditionalFormatting sqref="J433">
    <cfRule type="duplicateValues" dxfId="908" priority="126"/>
  </conditionalFormatting>
  <conditionalFormatting sqref="J461">
    <cfRule type="duplicateValues" dxfId="907" priority="125"/>
    <cfRule type="duplicateValues" dxfId="906" priority="124"/>
    <cfRule type="duplicateValues" dxfId="905" priority="122"/>
    <cfRule type="duplicateValues" dxfId="904" priority="123"/>
  </conditionalFormatting>
  <conditionalFormatting sqref="J462">
    <cfRule type="duplicateValues" dxfId="903" priority="121"/>
    <cfRule type="duplicateValues" dxfId="902" priority="120"/>
    <cfRule type="duplicateValues" dxfId="901" priority="119"/>
    <cfRule type="duplicateValues" dxfId="900" priority="118"/>
  </conditionalFormatting>
  <conditionalFormatting sqref="J463">
    <cfRule type="duplicateValues" dxfId="899" priority="117"/>
    <cfRule type="duplicateValues" dxfId="898" priority="116"/>
    <cfRule type="duplicateValues" dxfId="897" priority="115"/>
    <cfRule type="duplicateValues" dxfId="896" priority="114"/>
  </conditionalFormatting>
  <conditionalFormatting sqref="J464">
    <cfRule type="duplicateValues" dxfId="895" priority="113"/>
    <cfRule type="duplicateValues" dxfId="894" priority="112"/>
    <cfRule type="duplicateValues" dxfId="893" priority="111"/>
  </conditionalFormatting>
  <conditionalFormatting sqref="J467 J469:J473">
    <cfRule type="duplicateValues" dxfId="892" priority="110"/>
  </conditionalFormatting>
  <pageMargins left="0.7" right="0.7" top="0.75" bottom="0.75" header="0.3" footer="0.3"/>
  <pageSetup paperSize="2833" orientation="portrait" horizontalDpi="180" verticalDpi="18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27F3-6D4D-482F-95AC-A7A049306CF7}">
  <dimension ref="A1:K353"/>
  <sheetViews>
    <sheetView zoomScale="85" zoomScaleNormal="85" workbookViewId="0">
      <selection activeCell="F14" sqref="F14"/>
    </sheetView>
  </sheetViews>
  <sheetFormatPr defaultColWidth="6.1796875" defaultRowHeight="12.5"/>
  <cols>
    <col min="1" max="1" width="15.453125" style="9" bestFit="1" customWidth="1"/>
    <col min="2" max="2" width="14.1796875" style="9" bestFit="1" customWidth="1"/>
    <col min="3" max="3" width="16.453125" style="9" bestFit="1" customWidth="1"/>
    <col min="4" max="4" width="62.26953125" style="9" bestFit="1" customWidth="1"/>
    <col min="5" max="5" width="18.1796875" style="76" customWidth="1"/>
    <col min="6" max="6" width="18.453125" style="77" bestFit="1" customWidth="1"/>
    <col min="7" max="7" width="20" style="9" bestFit="1" customWidth="1"/>
    <col min="8" max="9" width="3.453125" style="9" bestFit="1" customWidth="1"/>
    <col min="10" max="10" width="4.453125" style="9" bestFit="1" customWidth="1"/>
    <col min="11" max="11" width="12.453125" style="9" bestFit="1" customWidth="1"/>
    <col min="12" max="16384" width="6.1796875" style="9"/>
  </cols>
  <sheetData>
    <row r="1" spans="1:11" s="4" customFormat="1" ht="29.15" customHeight="1">
      <c r="A1" s="96" t="s">
        <v>0</v>
      </c>
      <c r="B1" s="96" t="s">
        <v>1</v>
      </c>
      <c r="C1" s="97" t="s">
        <v>2</v>
      </c>
      <c r="D1" s="97" t="s">
        <v>3</v>
      </c>
      <c r="E1" s="174" t="s">
        <v>4</v>
      </c>
      <c r="F1" s="98" t="s">
        <v>5</v>
      </c>
    </row>
    <row r="2" spans="1:11">
      <c r="A2" s="5" t="s">
        <v>6</v>
      </c>
      <c r="B2" s="5" t="s">
        <v>7</v>
      </c>
      <c r="C2" s="119">
        <v>100030</v>
      </c>
      <c r="D2" s="120" t="s">
        <v>168</v>
      </c>
      <c r="E2" s="175">
        <v>8997009510123</v>
      </c>
      <c r="F2" s="8">
        <v>23</v>
      </c>
    </row>
    <row r="3" spans="1:11">
      <c r="A3" s="5" t="s">
        <v>6</v>
      </c>
      <c r="B3" s="5" t="s">
        <v>7</v>
      </c>
      <c r="C3" s="119">
        <v>100031</v>
      </c>
      <c r="D3" s="120" t="s">
        <v>545</v>
      </c>
      <c r="E3" s="175">
        <v>8997035563544</v>
      </c>
      <c r="F3" s="8">
        <v>0</v>
      </c>
    </row>
    <row r="4" spans="1:11">
      <c r="A4" s="11" t="s">
        <v>6</v>
      </c>
      <c r="B4" s="5" t="s">
        <v>7</v>
      </c>
      <c r="C4" s="119">
        <v>100032</v>
      </c>
      <c r="D4" s="120" t="s">
        <v>9</v>
      </c>
      <c r="E4" s="175">
        <v>8992388101023</v>
      </c>
      <c r="F4" s="8">
        <v>24</v>
      </c>
    </row>
    <row r="5" spans="1:11">
      <c r="A5" s="5" t="s">
        <v>6</v>
      </c>
      <c r="B5" s="5" t="s">
        <v>7</v>
      </c>
      <c r="C5" s="119">
        <v>100033</v>
      </c>
      <c r="D5" s="120" t="s">
        <v>10</v>
      </c>
      <c r="E5" s="175">
        <v>8992388101016</v>
      </c>
      <c r="F5" s="8">
        <v>61</v>
      </c>
      <c r="G5" s="12"/>
      <c r="H5" s="12"/>
      <c r="I5" s="12"/>
      <c r="J5" s="12"/>
      <c r="K5" s="12"/>
    </row>
    <row r="6" spans="1:11">
      <c r="A6" s="5" t="s">
        <v>6</v>
      </c>
      <c r="B6" s="5" t="s">
        <v>7</v>
      </c>
      <c r="C6" s="119">
        <v>100034</v>
      </c>
      <c r="D6" s="120" t="s">
        <v>165</v>
      </c>
      <c r="E6" s="175">
        <v>8997009510055</v>
      </c>
      <c r="F6" s="8">
        <v>24</v>
      </c>
      <c r="G6" s="12"/>
      <c r="H6" s="12"/>
      <c r="I6" s="12"/>
      <c r="J6" s="12"/>
      <c r="K6" s="12"/>
    </row>
    <row r="7" spans="1:11">
      <c r="A7" s="5" t="s">
        <v>6</v>
      </c>
      <c r="B7" s="5" t="s">
        <v>7</v>
      </c>
      <c r="C7" s="119">
        <v>100035</v>
      </c>
      <c r="D7" s="120" t="s">
        <v>166</v>
      </c>
      <c r="E7" s="175">
        <v>8997009510017</v>
      </c>
      <c r="F7" s="8">
        <v>57</v>
      </c>
      <c r="G7" s="12"/>
      <c r="H7" s="12"/>
      <c r="I7" s="12"/>
      <c r="J7" s="12"/>
      <c r="K7" s="12"/>
    </row>
    <row r="8" spans="1:11">
      <c r="A8" s="5" t="s">
        <v>6</v>
      </c>
      <c r="B8" s="5" t="s">
        <v>7</v>
      </c>
      <c r="C8" s="119">
        <v>100037</v>
      </c>
      <c r="D8" s="120" t="s">
        <v>167</v>
      </c>
      <c r="E8" s="175">
        <v>8997009510116</v>
      </c>
      <c r="F8" s="8">
        <v>27</v>
      </c>
      <c r="G8" s="12"/>
      <c r="H8" s="12"/>
      <c r="I8" s="12"/>
      <c r="J8" s="12"/>
      <c r="K8" s="12"/>
    </row>
    <row r="9" spans="1:11">
      <c r="A9" s="5" t="s">
        <v>6</v>
      </c>
      <c r="B9" s="5" t="s">
        <v>7</v>
      </c>
      <c r="C9" s="119">
        <v>100041</v>
      </c>
      <c r="D9" s="120" t="s">
        <v>163</v>
      </c>
      <c r="E9" s="175">
        <v>8996001600146</v>
      </c>
      <c r="F9" s="8">
        <v>94</v>
      </c>
      <c r="G9" s="12"/>
      <c r="H9" s="12"/>
      <c r="I9" s="12"/>
      <c r="J9" s="12"/>
      <c r="K9" s="12"/>
    </row>
    <row r="10" spans="1:11">
      <c r="A10" s="5" t="s">
        <v>6</v>
      </c>
      <c r="B10" s="5" t="s">
        <v>7</v>
      </c>
      <c r="C10" s="119">
        <v>100043</v>
      </c>
      <c r="D10" s="120" t="s">
        <v>162</v>
      </c>
      <c r="E10" s="175">
        <v>8996001600221</v>
      </c>
      <c r="F10" s="8">
        <v>41</v>
      </c>
      <c r="G10" s="12"/>
      <c r="H10" s="12"/>
      <c r="I10" s="12"/>
      <c r="J10" s="12"/>
      <c r="K10" s="12"/>
    </row>
    <row r="11" spans="1:11">
      <c r="A11" s="5" t="s">
        <v>6</v>
      </c>
      <c r="B11" s="5" t="s">
        <v>7</v>
      </c>
      <c r="C11" s="119">
        <v>100080</v>
      </c>
      <c r="D11" s="120" t="s">
        <v>17</v>
      </c>
      <c r="E11" s="175">
        <v>8992858527308</v>
      </c>
      <c r="F11" s="8">
        <v>84</v>
      </c>
      <c r="G11" s="12"/>
      <c r="H11" s="12"/>
      <c r="I11" s="12"/>
      <c r="J11" s="12"/>
      <c r="K11" s="12"/>
    </row>
    <row r="12" spans="1:11">
      <c r="A12" s="5" t="s">
        <v>6</v>
      </c>
      <c r="B12" s="5" t="s">
        <v>7</v>
      </c>
      <c r="C12" s="119">
        <v>100122</v>
      </c>
      <c r="D12" s="120" t="s">
        <v>443</v>
      </c>
      <c r="E12" s="175">
        <v>8996001600269</v>
      </c>
      <c r="F12" s="8">
        <v>16</v>
      </c>
      <c r="G12" s="12"/>
      <c r="H12" s="12"/>
      <c r="I12" s="12"/>
      <c r="J12" s="12"/>
      <c r="K12" s="12"/>
    </row>
    <row r="13" spans="1:11">
      <c r="A13" s="5" t="s">
        <v>6</v>
      </c>
      <c r="B13" s="5" t="s">
        <v>7</v>
      </c>
      <c r="C13" s="119">
        <v>100142</v>
      </c>
      <c r="D13" s="120" t="s">
        <v>256</v>
      </c>
      <c r="E13" s="175">
        <v>8995227500582</v>
      </c>
      <c r="F13" s="8">
        <v>17</v>
      </c>
      <c r="G13" s="12"/>
      <c r="H13" s="12"/>
      <c r="I13" s="12"/>
      <c r="J13" s="12"/>
      <c r="K13" s="12"/>
    </row>
    <row r="14" spans="1:11">
      <c r="A14" s="5" t="s">
        <v>6</v>
      </c>
      <c r="B14" s="5" t="s">
        <v>7</v>
      </c>
      <c r="C14" s="119">
        <v>100205</v>
      </c>
      <c r="D14" s="120" t="s">
        <v>22</v>
      </c>
      <c r="E14" s="175">
        <v>8994985000006</v>
      </c>
      <c r="F14" s="8">
        <v>64</v>
      </c>
      <c r="G14" s="12"/>
      <c r="H14" s="12"/>
      <c r="I14" s="12"/>
      <c r="J14" s="12"/>
      <c r="K14" s="12"/>
    </row>
    <row r="15" spans="1:11">
      <c r="A15" s="5" t="s">
        <v>6</v>
      </c>
      <c r="B15" s="5" t="s">
        <v>7</v>
      </c>
      <c r="C15" s="119">
        <v>100207</v>
      </c>
      <c r="D15" s="120" t="s">
        <v>24</v>
      </c>
      <c r="E15" s="175">
        <v>8994985002109</v>
      </c>
      <c r="F15" s="8">
        <v>18</v>
      </c>
    </row>
    <row r="16" spans="1:11">
      <c r="A16" s="5" t="s">
        <v>6</v>
      </c>
      <c r="B16" s="5" t="s">
        <v>7</v>
      </c>
      <c r="C16" s="119">
        <v>100213</v>
      </c>
      <c r="D16" s="120" t="s">
        <v>587</v>
      </c>
      <c r="E16" s="175">
        <v>8995227500247</v>
      </c>
      <c r="F16" s="8"/>
    </row>
    <row r="17" spans="1:6">
      <c r="A17" s="5" t="s">
        <v>6</v>
      </c>
      <c r="B17" s="5" t="s">
        <v>7</v>
      </c>
      <c r="C17" s="119">
        <v>100214</v>
      </c>
      <c r="D17" s="120" t="s">
        <v>264</v>
      </c>
      <c r="E17" s="175">
        <v>8995227500254</v>
      </c>
      <c r="F17" s="8">
        <v>0</v>
      </c>
    </row>
    <row r="18" spans="1:6">
      <c r="A18" s="5" t="s">
        <v>6</v>
      </c>
      <c r="B18" s="5" t="s">
        <v>7</v>
      </c>
      <c r="C18" s="119">
        <v>100215</v>
      </c>
      <c r="D18" s="120" t="s">
        <v>253</v>
      </c>
      <c r="E18" s="175">
        <v>8995227500261</v>
      </c>
      <c r="F18" s="8">
        <v>38</v>
      </c>
    </row>
    <row r="19" spans="1:6">
      <c r="A19" s="5" t="s">
        <v>6</v>
      </c>
      <c r="B19" s="5" t="s">
        <v>7</v>
      </c>
      <c r="C19" s="119">
        <v>100216</v>
      </c>
      <c r="D19" s="120" t="s">
        <v>254</v>
      </c>
      <c r="E19" s="175">
        <v>8995227500278</v>
      </c>
      <c r="F19" s="8">
        <v>26</v>
      </c>
    </row>
    <row r="20" spans="1:6" s="18" customFormat="1">
      <c r="A20" s="5" t="s">
        <v>6</v>
      </c>
      <c r="B20" s="5" t="s">
        <v>7</v>
      </c>
      <c r="C20" s="119">
        <v>100217</v>
      </c>
      <c r="D20" s="120" t="s">
        <v>607</v>
      </c>
      <c r="E20" s="175">
        <v>8998009010248</v>
      </c>
      <c r="F20" s="8">
        <v>0</v>
      </c>
    </row>
    <row r="21" spans="1:6">
      <c r="A21" s="5" t="s">
        <v>6</v>
      </c>
      <c r="B21" s="5" t="s">
        <v>7</v>
      </c>
      <c r="C21" s="119">
        <v>100223</v>
      </c>
      <c r="D21" s="120" t="s">
        <v>255</v>
      </c>
      <c r="E21" s="175">
        <v>8995227500308</v>
      </c>
      <c r="F21" s="8">
        <v>51</v>
      </c>
    </row>
    <row r="22" spans="1:6">
      <c r="A22" s="5" t="s">
        <v>6</v>
      </c>
      <c r="B22" s="5" t="s">
        <v>7</v>
      </c>
      <c r="C22" s="119">
        <v>100224</v>
      </c>
      <c r="D22" s="120" t="s">
        <v>608</v>
      </c>
      <c r="E22" s="175">
        <v>8995227500230</v>
      </c>
      <c r="F22" s="8">
        <v>0</v>
      </c>
    </row>
    <row r="23" spans="1:6">
      <c r="A23" s="5" t="s">
        <v>6</v>
      </c>
      <c r="B23" s="5" t="s">
        <v>7</v>
      </c>
      <c r="C23" s="119">
        <v>100226</v>
      </c>
      <c r="D23" s="120" t="s">
        <v>23</v>
      </c>
      <c r="E23" s="175">
        <v>8994985000273</v>
      </c>
      <c r="F23" s="8">
        <v>34</v>
      </c>
    </row>
    <row r="24" spans="1:6">
      <c r="A24" s="5" t="s">
        <v>6</v>
      </c>
      <c r="B24" s="5" t="s">
        <v>7</v>
      </c>
      <c r="C24" s="119">
        <v>200000</v>
      </c>
      <c r="D24" s="120" t="s">
        <v>609</v>
      </c>
      <c r="E24" s="175">
        <v>89686590135</v>
      </c>
      <c r="F24" s="8"/>
    </row>
    <row r="25" spans="1:6">
      <c r="A25" s="5" t="s">
        <v>25</v>
      </c>
      <c r="B25" s="5" t="s">
        <v>7</v>
      </c>
      <c r="C25" s="119">
        <v>200004</v>
      </c>
      <c r="D25" s="120" t="s">
        <v>328</v>
      </c>
      <c r="E25" s="175">
        <v>89686598025</v>
      </c>
      <c r="F25" s="8">
        <v>53</v>
      </c>
    </row>
    <row r="26" spans="1:6">
      <c r="A26" s="5" t="s">
        <v>25</v>
      </c>
      <c r="B26" s="5" t="s">
        <v>7</v>
      </c>
      <c r="C26" s="119">
        <v>200011</v>
      </c>
      <c r="D26" s="120" t="s">
        <v>319</v>
      </c>
      <c r="E26" s="175">
        <v>89686600247</v>
      </c>
      <c r="F26" s="8"/>
    </row>
    <row r="27" spans="1:6">
      <c r="A27" s="5" t="s">
        <v>25</v>
      </c>
      <c r="B27" s="5" t="s">
        <v>7</v>
      </c>
      <c r="C27" s="119">
        <v>200015</v>
      </c>
      <c r="D27" s="120" t="s">
        <v>429</v>
      </c>
      <c r="E27" s="175">
        <v>8857107232016</v>
      </c>
      <c r="F27" s="8">
        <v>0</v>
      </c>
    </row>
    <row r="28" spans="1:6">
      <c r="A28" s="5" t="s">
        <v>25</v>
      </c>
      <c r="B28" s="5" t="s">
        <v>7</v>
      </c>
      <c r="C28" s="119">
        <v>200071</v>
      </c>
      <c r="D28" s="120" t="s">
        <v>430</v>
      </c>
      <c r="E28" s="175">
        <v>8857107232023</v>
      </c>
      <c r="F28" s="8">
        <v>0</v>
      </c>
    </row>
    <row r="29" spans="1:6">
      <c r="A29" s="5" t="s">
        <v>25</v>
      </c>
      <c r="B29" s="5" t="s">
        <v>7</v>
      </c>
      <c r="C29" s="119">
        <v>200016</v>
      </c>
      <c r="D29" s="120" t="s">
        <v>422</v>
      </c>
      <c r="E29" s="175">
        <v>8994504102327</v>
      </c>
      <c r="F29" s="8">
        <v>0</v>
      </c>
    </row>
    <row r="30" spans="1:6">
      <c r="A30" s="5" t="s">
        <v>25</v>
      </c>
      <c r="B30" s="5" t="s">
        <v>7</v>
      </c>
      <c r="C30" s="119">
        <v>200018</v>
      </c>
      <c r="D30" s="120" t="s">
        <v>421</v>
      </c>
      <c r="E30" s="175">
        <v>8994504102310</v>
      </c>
      <c r="F30" s="8">
        <v>0</v>
      </c>
    </row>
    <row r="31" spans="1:6">
      <c r="A31" s="5" t="s">
        <v>25</v>
      </c>
      <c r="B31" s="5" t="s">
        <v>7</v>
      </c>
      <c r="C31" s="119">
        <v>200019</v>
      </c>
      <c r="D31" s="120" t="s">
        <v>611</v>
      </c>
      <c r="E31" s="175">
        <v>8994504102334</v>
      </c>
      <c r="F31" s="8">
        <v>0</v>
      </c>
    </row>
    <row r="32" spans="1:6">
      <c r="A32" s="5" t="s">
        <v>25</v>
      </c>
      <c r="B32" s="5" t="s">
        <v>7</v>
      </c>
      <c r="C32" s="119">
        <v>200024</v>
      </c>
      <c r="D32" s="120" t="s">
        <v>315</v>
      </c>
      <c r="E32" s="175">
        <v>8999999000066</v>
      </c>
      <c r="F32" s="8"/>
    </row>
    <row r="33" spans="1:6">
      <c r="A33" s="5" t="s">
        <v>25</v>
      </c>
      <c r="B33" s="5" t="s">
        <v>7</v>
      </c>
      <c r="C33" s="119">
        <v>200031</v>
      </c>
      <c r="D33" s="120" t="s">
        <v>265</v>
      </c>
      <c r="E33" s="175">
        <v>8886001038011</v>
      </c>
      <c r="F33" s="8">
        <v>28</v>
      </c>
    </row>
    <row r="34" spans="1:6">
      <c r="A34" s="5" t="s">
        <v>25</v>
      </c>
      <c r="B34" s="5" t="s">
        <v>7</v>
      </c>
      <c r="C34" s="119">
        <v>200058</v>
      </c>
      <c r="D34" s="120" t="s">
        <v>734</v>
      </c>
      <c r="E34" s="175">
        <v>8991102302609</v>
      </c>
      <c r="F34" s="8"/>
    </row>
    <row r="35" spans="1:6">
      <c r="A35" s="5" t="s">
        <v>25</v>
      </c>
      <c r="B35" s="5" t="s">
        <v>7</v>
      </c>
      <c r="C35" s="119">
        <v>200078</v>
      </c>
      <c r="D35" s="120" t="s">
        <v>612</v>
      </c>
      <c r="E35" s="175">
        <v>89686611670</v>
      </c>
      <c r="F35" s="8"/>
    </row>
    <row r="36" spans="1:6">
      <c r="A36" s="5" t="s">
        <v>25</v>
      </c>
      <c r="B36" s="5" t="s">
        <v>7</v>
      </c>
      <c r="C36" s="119">
        <v>200079</v>
      </c>
      <c r="D36" s="120" t="s">
        <v>332</v>
      </c>
      <c r="E36" s="175">
        <v>89686611618</v>
      </c>
      <c r="F36" s="8"/>
    </row>
    <row r="37" spans="1:6">
      <c r="A37" s="5" t="s">
        <v>25</v>
      </c>
      <c r="B37" s="5" t="s">
        <v>7</v>
      </c>
      <c r="C37" s="119">
        <v>200080</v>
      </c>
      <c r="D37" s="120" t="s">
        <v>327</v>
      </c>
      <c r="E37" s="175">
        <v>89686596441</v>
      </c>
      <c r="F37" s="8"/>
    </row>
    <row r="38" spans="1:6">
      <c r="A38" s="5" t="s">
        <v>25</v>
      </c>
      <c r="B38" s="5" t="s">
        <v>7</v>
      </c>
      <c r="C38" s="119">
        <v>200082</v>
      </c>
      <c r="D38" s="120" t="s">
        <v>450</v>
      </c>
      <c r="E38" s="175">
        <v>89686611854</v>
      </c>
      <c r="F38" s="8"/>
    </row>
    <row r="39" spans="1:6">
      <c r="A39" s="5" t="s">
        <v>25</v>
      </c>
      <c r="B39" s="5" t="s">
        <v>7</v>
      </c>
      <c r="C39" s="119">
        <v>200088</v>
      </c>
      <c r="D39" s="120" t="s">
        <v>735</v>
      </c>
      <c r="E39" s="175">
        <v>8991102308892</v>
      </c>
      <c r="F39" s="8"/>
    </row>
    <row r="40" spans="1:6">
      <c r="A40" s="5" t="s">
        <v>25</v>
      </c>
      <c r="B40" s="5" t="s">
        <v>7</v>
      </c>
      <c r="C40" s="119">
        <v>200099</v>
      </c>
      <c r="D40" s="120" t="s">
        <v>427</v>
      </c>
      <c r="E40" s="175">
        <v>8991001503114</v>
      </c>
      <c r="F40" s="8">
        <v>0</v>
      </c>
    </row>
    <row r="41" spans="1:6">
      <c r="A41" s="5" t="s">
        <v>25</v>
      </c>
      <c r="B41" s="5" t="s">
        <v>7</v>
      </c>
      <c r="C41" s="119">
        <v>200106</v>
      </c>
      <c r="D41" s="120" t="s">
        <v>613</v>
      </c>
      <c r="E41" s="175">
        <v>8991001502933</v>
      </c>
      <c r="F41" s="8">
        <v>0</v>
      </c>
    </row>
    <row r="42" spans="1:6">
      <c r="A42" s="5" t="s">
        <v>25</v>
      </c>
      <c r="B42" s="5" t="s">
        <v>7</v>
      </c>
      <c r="C42" s="119">
        <v>200112</v>
      </c>
      <c r="D42" s="120" t="s">
        <v>736</v>
      </c>
      <c r="E42" s="175">
        <v>7622300136048</v>
      </c>
      <c r="F42" s="8"/>
    </row>
    <row r="43" spans="1:6">
      <c r="A43" s="5" t="s">
        <v>25</v>
      </c>
      <c r="B43" s="5" t="s">
        <v>7</v>
      </c>
      <c r="C43" s="119">
        <v>200114</v>
      </c>
      <c r="D43" s="120" t="s">
        <v>737</v>
      </c>
      <c r="E43" s="175">
        <v>8992760223022</v>
      </c>
      <c r="F43" s="8">
        <v>0</v>
      </c>
    </row>
    <row r="44" spans="1:6">
      <c r="A44" s="5" t="s">
        <v>25</v>
      </c>
      <c r="B44" s="5" t="s">
        <v>7</v>
      </c>
      <c r="C44" s="119">
        <v>200116</v>
      </c>
      <c r="D44" s="120" t="s">
        <v>428</v>
      </c>
      <c r="E44" s="175">
        <v>8991001503107</v>
      </c>
      <c r="F44" s="8"/>
    </row>
    <row r="45" spans="1:6">
      <c r="A45" s="5" t="s">
        <v>25</v>
      </c>
      <c r="B45" s="5" t="s">
        <v>7</v>
      </c>
      <c r="C45" s="119">
        <v>200205</v>
      </c>
      <c r="D45" s="120" t="s">
        <v>614</v>
      </c>
      <c r="E45" s="175">
        <v>89686591231</v>
      </c>
      <c r="F45" s="8">
        <v>0</v>
      </c>
    </row>
    <row r="46" spans="1:6">
      <c r="A46" s="5" t="s">
        <v>25</v>
      </c>
      <c r="B46" s="5" t="s">
        <v>7</v>
      </c>
      <c r="C46" s="119">
        <v>200213</v>
      </c>
      <c r="D46" s="120" t="s">
        <v>615</v>
      </c>
      <c r="E46" s="175">
        <v>8992775203415</v>
      </c>
      <c r="F46" s="8">
        <v>0</v>
      </c>
    </row>
    <row r="47" spans="1:6">
      <c r="A47" s="5" t="s">
        <v>25</v>
      </c>
      <c r="B47" s="5" t="s">
        <v>7</v>
      </c>
      <c r="C47" s="119">
        <v>200220</v>
      </c>
      <c r="D47" s="120" t="s">
        <v>617</v>
      </c>
      <c r="E47" s="175">
        <v>89686590036</v>
      </c>
      <c r="F47" s="8"/>
    </row>
    <row r="48" spans="1:6" s="18" customFormat="1">
      <c r="A48" s="5" t="s">
        <v>25</v>
      </c>
      <c r="B48" s="5" t="s">
        <v>7</v>
      </c>
      <c r="C48" s="119">
        <v>200223</v>
      </c>
      <c r="D48" s="120" t="s">
        <v>618</v>
      </c>
      <c r="E48" s="175">
        <v>8992775311981</v>
      </c>
      <c r="F48" s="8">
        <v>0</v>
      </c>
    </row>
    <row r="49" spans="1:6" s="18" customFormat="1">
      <c r="A49" s="5" t="s">
        <v>25</v>
      </c>
      <c r="B49" s="5" t="s">
        <v>7</v>
      </c>
      <c r="C49" s="119">
        <v>200224</v>
      </c>
      <c r="D49" s="120" t="s">
        <v>619</v>
      </c>
      <c r="E49" s="175">
        <v>8992775311479</v>
      </c>
      <c r="F49" s="8">
        <v>0</v>
      </c>
    </row>
    <row r="50" spans="1:6" s="18" customFormat="1">
      <c r="A50" s="5" t="s">
        <v>25</v>
      </c>
      <c r="B50" s="5" t="s">
        <v>7</v>
      </c>
      <c r="C50" s="119">
        <v>200259</v>
      </c>
      <c r="D50" s="120" t="s">
        <v>495</v>
      </c>
      <c r="E50" s="175">
        <v>89686598421</v>
      </c>
      <c r="F50" s="8"/>
    </row>
    <row r="51" spans="1:6" s="18" customFormat="1">
      <c r="A51" s="5" t="s">
        <v>25</v>
      </c>
      <c r="B51" s="5" t="s">
        <v>7</v>
      </c>
      <c r="C51" s="119">
        <v>200262</v>
      </c>
      <c r="D51" s="120" t="s">
        <v>738</v>
      </c>
      <c r="E51" s="175">
        <v>7622300442477</v>
      </c>
      <c r="F51" s="8"/>
    </row>
    <row r="52" spans="1:6" s="18" customFormat="1">
      <c r="A52" s="5" t="s">
        <v>25</v>
      </c>
      <c r="B52" s="5" t="s">
        <v>7</v>
      </c>
      <c r="C52" s="119">
        <v>200266</v>
      </c>
      <c r="D52" s="120" t="s">
        <v>330</v>
      </c>
      <c r="E52" s="175">
        <v>89686600841</v>
      </c>
      <c r="F52" s="8"/>
    </row>
    <row r="53" spans="1:6" s="18" customFormat="1">
      <c r="A53" s="5" t="s">
        <v>25</v>
      </c>
      <c r="B53" s="5" t="s">
        <v>7</v>
      </c>
      <c r="C53" s="119">
        <v>200282</v>
      </c>
      <c r="D53" s="120" t="s">
        <v>739</v>
      </c>
      <c r="E53" s="175">
        <v>8991102303200</v>
      </c>
      <c r="F53" s="8"/>
    </row>
    <row r="54" spans="1:6" s="18" customFormat="1">
      <c r="A54" s="5" t="s">
        <v>25</v>
      </c>
      <c r="B54" s="5" t="s">
        <v>7</v>
      </c>
      <c r="C54" s="119">
        <v>200285</v>
      </c>
      <c r="D54" s="120" t="s">
        <v>740</v>
      </c>
      <c r="E54" s="175">
        <v>8992760121014</v>
      </c>
      <c r="F54" s="8">
        <v>0</v>
      </c>
    </row>
    <row r="55" spans="1:6" s="18" customFormat="1">
      <c r="A55" s="5" t="s">
        <v>25</v>
      </c>
      <c r="B55" s="5" t="s">
        <v>7</v>
      </c>
      <c r="C55" s="119">
        <v>200289</v>
      </c>
      <c r="D55" s="120" t="s">
        <v>556</v>
      </c>
      <c r="E55" s="175">
        <v>8851019210117</v>
      </c>
      <c r="F55" s="8">
        <v>20</v>
      </c>
    </row>
    <row r="56" spans="1:6" s="18" customFormat="1">
      <c r="A56" s="5" t="s">
        <v>25</v>
      </c>
      <c r="B56" s="5" t="s">
        <v>7</v>
      </c>
      <c r="C56" s="119">
        <v>200290</v>
      </c>
      <c r="D56" s="120" t="s">
        <v>557</v>
      </c>
      <c r="E56" s="175">
        <v>8851019210124</v>
      </c>
      <c r="F56" s="8">
        <v>15</v>
      </c>
    </row>
    <row r="57" spans="1:6" s="18" customFormat="1">
      <c r="A57" s="5" t="s">
        <v>25</v>
      </c>
      <c r="B57" s="5" t="s">
        <v>7</v>
      </c>
      <c r="C57" s="119">
        <v>200291</v>
      </c>
      <c r="D57" s="120" t="s">
        <v>621</v>
      </c>
      <c r="E57" s="175">
        <v>8851019510132</v>
      </c>
      <c r="F57" s="8">
        <v>8</v>
      </c>
    </row>
    <row r="58" spans="1:6" s="18" customFormat="1">
      <c r="A58" s="5" t="s">
        <v>25</v>
      </c>
      <c r="B58" s="5" t="s">
        <v>7</v>
      </c>
      <c r="C58" s="119">
        <v>200292</v>
      </c>
      <c r="D58" s="120" t="s">
        <v>183</v>
      </c>
      <c r="E58" s="175">
        <v>8851019210223</v>
      </c>
      <c r="F58" s="8"/>
    </row>
    <row r="59" spans="1:6" s="18" customFormat="1">
      <c r="A59" s="5" t="s">
        <v>25</v>
      </c>
      <c r="B59" s="5" t="s">
        <v>7</v>
      </c>
      <c r="C59" s="119">
        <v>200303</v>
      </c>
      <c r="D59" s="120" t="s">
        <v>741</v>
      </c>
      <c r="E59" s="175">
        <v>8993175533232</v>
      </c>
      <c r="F59" s="8">
        <v>60</v>
      </c>
    </row>
    <row r="60" spans="1:6" s="18" customFormat="1">
      <c r="A60" s="5" t="s">
        <v>25</v>
      </c>
      <c r="B60" s="5" t="s">
        <v>7</v>
      </c>
      <c r="C60" s="119">
        <v>200310</v>
      </c>
      <c r="D60" s="120" t="s">
        <v>316</v>
      </c>
      <c r="E60" s="175">
        <v>89686600544</v>
      </c>
      <c r="F60" s="8"/>
    </row>
    <row r="61" spans="1:6" s="18" customFormat="1">
      <c r="A61" s="5" t="s">
        <v>25</v>
      </c>
      <c r="B61" s="5" t="s">
        <v>7</v>
      </c>
      <c r="C61" s="119">
        <v>200324</v>
      </c>
      <c r="D61" s="120" t="s">
        <v>624</v>
      </c>
      <c r="E61" s="175">
        <v>8992775212134</v>
      </c>
      <c r="F61" s="8"/>
    </row>
    <row r="62" spans="1:6" s="18" customFormat="1">
      <c r="A62" s="5" t="s">
        <v>25</v>
      </c>
      <c r="B62" s="5" t="s">
        <v>7</v>
      </c>
      <c r="C62" s="119">
        <v>200332</v>
      </c>
      <c r="D62" s="120" t="s">
        <v>625</v>
      </c>
      <c r="E62" s="175">
        <v>89686611922</v>
      </c>
      <c r="F62" s="8">
        <v>0</v>
      </c>
    </row>
    <row r="63" spans="1:6" s="18" customFormat="1">
      <c r="A63" s="5" t="s">
        <v>25</v>
      </c>
      <c r="B63" s="5" t="s">
        <v>7</v>
      </c>
      <c r="C63" s="119">
        <v>200336</v>
      </c>
      <c r="D63" s="120" t="s">
        <v>333</v>
      </c>
      <c r="E63" s="175">
        <v>89686611519</v>
      </c>
      <c r="F63" s="8"/>
    </row>
    <row r="64" spans="1:6" s="18" customFormat="1">
      <c r="A64" s="5" t="s">
        <v>25</v>
      </c>
      <c r="B64" s="5" t="s">
        <v>7</v>
      </c>
      <c r="C64" s="119">
        <v>200337</v>
      </c>
      <c r="D64" s="120" t="s">
        <v>334</v>
      </c>
      <c r="E64" s="175">
        <v>89686611878</v>
      </c>
      <c r="F64" s="8">
        <v>0</v>
      </c>
    </row>
    <row r="65" spans="1:6" s="18" customFormat="1">
      <c r="A65" s="5" t="s">
        <v>25</v>
      </c>
      <c r="B65" s="5" t="s">
        <v>7</v>
      </c>
      <c r="C65" s="119">
        <v>200345</v>
      </c>
      <c r="D65" s="120" t="s">
        <v>554</v>
      </c>
      <c r="E65" s="175">
        <v>89686601053</v>
      </c>
      <c r="F65" s="8"/>
    </row>
    <row r="66" spans="1:6" s="18" customFormat="1">
      <c r="A66" s="5" t="s">
        <v>25</v>
      </c>
      <c r="B66" s="5" t="s">
        <v>7</v>
      </c>
      <c r="C66" s="119">
        <v>200367</v>
      </c>
      <c r="D66" s="120" t="s">
        <v>626</v>
      </c>
      <c r="E66" s="175">
        <v>89686606010</v>
      </c>
      <c r="F66" s="8"/>
    </row>
    <row r="67" spans="1:6" s="18" customFormat="1">
      <c r="A67" s="5" t="s">
        <v>25</v>
      </c>
      <c r="B67" s="5" t="s">
        <v>7</v>
      </c>
      <c r="C67" s="119">
        <v>200381</v>
      </c>
      <c r="D67" s="120" t="s">
        <v>628</v>
      </c>
      <c r="E67" s="175">
        <v>8995077601361</v>
      </c>
      <c r="F67" s="8">
        <v>0</v>
      </c>
    </row>
    <row r="68" spans="1:6" s="18" customFormat="1">
      <c r="A68" s="5" t="s">
        <v>25</v>
      </c>
      <c r="B68" s="5" t="s">
        <v>7</v>
      </c>
      <c r="C68" s="119">
        <v>200382</v>
      </c>
      <c r="D68" s="120" t="s">
        <v>629</v>
      </c>
      <c r="E68" s="175">
        <v>8995077600579</v>
      </c>
      <c r="F68" s="8">
        <v>0</v>
      </c>
    </row>
    <row r="69" spans="1:6" s="18" customFormat="1">
      <c r="A69" s="5" t="s">
        <v>25</v>
      </c>
      <c r="B69" s="5" t="s">
        <v>7</v>
      </c>
      <c r="C69" s="119">
        <v>200387</v>
      </c>
      <c r="D69" s="120" t="s">
        <v>631</v>
      </c>
      <c r="E69" s="175">
        <v>8995077602399</v>
      </c>
      <c r="F69" s="8">
        <v>0</v>
      </c>
    </row>
    <row r="70" spans="1:6" s="18" customFormat="1">
      <c r="A70" s="5" t="s">
        <v>25</v>
      </c>
      <c r="B70" s="5" t="s">
        <v>7</v>
      </c>
      <c r="C70" s="119">
        <v>200389</v>
      </c>
      <c r="D70" s="120" t="s">
        <v>632</v>
      </c>
      <c r="E70" s="175">
        <v>7622300335809</v>
      </c>
      <c r="F70" s="8">
        <v>6</v>
      </c>
    </row>
    <row r="71" spans="1:6" s="18" customFormat="1">
      <c r="A71" s="5" t="s">
        <v>25</v>
      </c>
      <c r="B71" s="5" t="s">
        <v>7</v>
      </c>
      <c r="C71" s="119">
        <v>200391</v>
      </c>
      <c r="D71" s="120" t="s">
        <v>633</v>
      </c>
      <c r="E71" s="175">
        <v>7622300405588</v>
      </c>
      <c r="F71" s="8"/>
    </row>
    <row r="72" spans="1:6" s="18" customFormat="1">
      <c r="A72" s="5" t="s">
        <v>25</v>
      </c>
      <c r="B72" s="5" t="s">
        <v>7</v>
      </c>
      <c r="C72" s="119">
        <v>200396</v>
      </c>
      <c r="D72" s="120" t="s">
        <v>318</v>
      </c>
      <c r="E72" s="175">
        <v>89686604450</v>
      </c>
      <c r="F72" s="8"/>
    </row>
    <row r="73" spans="1:6" s="18" customFormat="1">
      <c r="A73" s="5" t="s">
        <v>25</v>
      </c>
      <c r="B73" s="5" t="s">
        <v>7</v>
      </c>
      <c r="C73" s="119">
        <v>200397</v>
      </c>
      <c r="D73" s="120" t="s">
        <v>634</v>
      </c>
      <c r="E73" s="175">
        <v>8851019210193</v>
      </c>
      <c r="F73" s="8">
        <v>0</v>
      </c>
    </row>
    <row r="74" spans="1:6" s="18" customFormat="1">
      <c r="A74" s="5" t="s">
        <v>25</v>
      </c>
      <c r="B74" s="5" t="s">
        <v>7</v>
      </c>
      <c r="C74" s="119">
        <v>200398</v>
      </c>
      <c r="D74" s="120" t="s">
        <v>191</v>
      </c>
      <c r="E74" s="175">
        <v>8996001370063</v>
      </c>
      <c r="F74" s="8">
        <v>35</v>
      </c>
    </row>
    <row r="75" spans="1:6" s="18" customFormat="1">
      <c r="A75" s="5" t="s">
        <v>25</v>
      </c>
      <c r="B75" s="5" t="s">
        <v>7</v>
      </c>
      <c r="C75" s="119">
        <v>200400</v>
      </c>
      <c r="D75" s="120" t="s">
        <v>635</v>
      </c>
      <c r="E75" s="175">
        <v>8994075230399</v>
      </c>
      <c r="F75" s="8">
        <v>13</v>
      </c>
    </row>
    <row r="76" spans="1:6" s="18" customFormat="1">
      <c r="A76" s="5" t="s">
        <v>25</v>
      </c>
      <c r="B76" s="5" t="s">
        <v>7</v>
      </c>
      <c r="C76" s="119">
        <v>200406</v>
      </c>
      <c r="D76" s="120" t="s">
        <v>636</v>
      </c>
      <c r="E76" s="175">
        <v>8994075230412</v>
      </c>
      <c r="F76" s="8">
        <v>0</v>
      </c>
    </row>
    <row r="77" spans="1:6" s="18" customFormat="1">
      <c r="A77" s="5" t="s">
        <v>25</v>
      </c>
      <c r="B77" s="5" t="s">
        <v>7</v>
      </c>
      <c r="C77" s="119">
        <v>200408</v>
      </c>
      <c r="D77" s="120" t="s">
        <v>637</v>
      </c>
      <c r="E77" s="175">
        <v>8994075230436</v>
      </c>
      <c r="F77" s="8">
        <v>17</v>
      </c>
    </row>
    <row r="78" spans="1:6" s="18" customFormat="1">
      <c r="A78" s="11" t="s">
        <v>25</v>
      </c>
      <c r="B78" s="5" t="s">
        <v>7</v>
      </c>
      <c r="C78" s="119">
        <v>200413</v>
      </c>
      <c r="D78" s="120" t="s">
        <v>742</v>
      </c>
      <c r="E78" s="175">
        <v>89686606034</v>
      </c>
      <c r="F78" s="8">
        <v>0</v>
      </c>
    </row>
    <row r="79" spans="1:6" s="18" customFormat="1">
      <c r="A79" s="11" t="s">
        <v>89</v>
      </c>
      <c r="B79" s="5" t="s">
        <v>7</v>
      </c>
      <c r="C79" s="119">
        <v>200415</v>
      </c>
      <c r="D79" s="120" t="s">
        <v>184</v>
      </c>
      <c r="E79" s="175">
        <v>8851019210292</v>
      </c>
      <c r="F79" s="8"/>
    </row>
    <row r="80" spans="1:6" s="18" customFormat="1">
      <c r="A80" s="11" t="s">
        <v>25</v>
      </c>
      <c r="B80" s="5" t="s">
        <v>7</v>
      </c>
      <c r="C80" s="119">
        <v>200418</v>
      </c>
      <c r="D80" s="120" t="s">
        <v>638</v>
      </c>
      <c r="E80" s="175">
        <v>8991002502710</v>
      </c>
      <c r="F80" s="8"/>
    </row>
    <row r="81" spans="1:6" s="18" customFormat="1">
      <c r="A81" s="11" t="s">
        <v>25</v>
      </c>
      <c r="B81" s="5" t="s">
        <v>7</v>
      </c>
      <c r="C81" s="119">
        <v>200419</v>
      </c>
      <c r="D81" s="120" t="s">
        <v>639</v>
      </c>
      <c r="E81" s="175">
        <v>8991002502314</v>
      </c>
      <c r="F81" s="8">
        <v>0</v>
      </c>
    </row>
    <row r="82" spans="1:6" s="18" customFormat="1">
      <c r="A82" s="11" t="s">
        <v>25</v>
      </c>
      <c r="B82" s="5" t="s">
        <v>7</v>
      </c>
      <c r="C82" s="119">
        <v>200424</v>
      </c>
      <c r="D82" s="120" t="s">
        <v>640</v>
      </c>
      <c r="E82" s="175">
        <v>8995077603143</v>
      </c>
      <c r="F82" s="8">
        <v>0</v>
      </c>
    </row>
    <row r="83" spans="1:6" s="18" customFormat="1">
      <c r="A83" s="11" t="s">
        <v>25</v>
      </c>
      <c r="B83" s="5" t="s">
        <v>7</v>
      </c>
      <c r="C83" s="119">
        <v>200427</v>
      </c>
      <c r="D83" s="120" t="s">
        <v>641</v>
      </c>
      <c r="E83" s="175">
        <v>8996001304921</v>
      </c>
      <c r="F83" s="8">
        <v>0</v>
      </c>
    </row>
    <row r="84" spans="1:6" s="18" customFormat="1">
      <c r="A84" s="11" t="s">
        <v>25</v>
      </c>
      <c r="B84" s="5" t="s">
        <v>7</v>
      </c>
      <c r="C84" s="119">
        <v>200431</v>
      </c>
      <c r="D84" s="120" t="s">
        <v>268</v>
      </c>
      <c r="E84" s="175">
        <v>8886013300601</v>
      </c>
      <c r="F84" s="8">
        <v>44</v>
      </c>
    </row>
    <row r="85" spans="1:6" s="18" customFormat="1">
      <c r="A85" s="11" t="s">
        <v>25</v>
      </c>
      <c r="B85" s="5" t="s">
        <v>7</v>
      </c>
      <c r="C85" s="119">
        <v>200433</v>
      </c>
      <c r="D85" s="120" t="s">
        <v>743</v>
      </c>
      <c r="E85" s="175">
        <v>8992716109462</v>
      </c>
      <c r="F85" s="8">
        <v>10</v>
      </c>
    </row>
    <row r="86" spans="1:6" s="18" customFormat="1">
      <c r="A86" s="11" t="s">
        <v>25</v>
      </c>
      <c r="B86" s="5" t="s">
        <v>7</v>
      </c>
      <c r="C86" s="119">
        <v>200434</v>
      </c>
      <c r="D86" s="120" t="s">
        <v>644</v>
      </c>
      <c r="E86" s="175">
        <v>8996001304549</v>
      </c>
      <c r="F86" s="8">
        <v>0</v>
      </c>
    </row>
    <row r="87" spans="1:6" s="18" customFormat="1">
      <c r="A87" s="11" t="s">
        <v>25</v>
      </c>
      <c r="B87" s="5" t="s">
        <v>7</v>
      </c>
      <c r="C87" s="119">
        <v>200435</v>
      </c>
      <c r="D87" s="120" t="s">
        <v>645</v>
      </c>
      <c r="E87" s="175">
        <v>8991002502154</v>
      </c>
      <c r="F87" s="8">
        <v>0</v>
      </c>
    </row>
    <row r="88" spans="1:6" s="18" customFormat="1">
      <c r="A88" s="11" t="s">
        <v>89</v>
      </c>
      <c r="B88" s="5" t="s">
        <v>7</v>
      </c>
      <c r="C88" s="119">
        <v>300000</v>
      </c>
      <c r="D88" s="120" t="s">
        <v>744</v>
      </c>
      <c r="E88" s="175">
        <v>8999999008215</v>
      </c>
      <c r="F88" s="8">
        <v>26</v>
      </c>
    </row>
    <row r="89" spans="1:6" s="18" customFormat="1">
      <c r="A89" s="11" t="s">
        <v>89</v>
      </c>
      <c r="B89" s="5" t="s">
        <v>7</v>
      </c>
      <c r="C89" s="119">
        <v>300001</v>
      </c>
      <c r="D89" s="120" t="s">
        <v>745</v>
      </c>
      <c r="E89" s="175">
        <v>8999999008208</v>
      </c>
      <c r="F89" s="8">
        <v>21</v>
      </c>
    </row>
    <row r="90" spans="1:6" s="18" customFormat="1">
      <c r="A90" s="11" t="s">
        <v>89</v>
      </c>
      <c r="B90" s="5" t="s">
        <v>7</v>
      </c>
      <c r="C90" s="119">
        <v>300005</v>
      </c>
      <c r="D90" s="120" t="s">
        <v>746</v>
      </c>
      <c r="E90" s="175">
        <v>8999999294021</v>
      </c>
      <c r="F90" s="8">
        <v>45</v>
      </c>
    </row>
    <row r="91" spans="1:6" s="18" customFormat="1">
      <c r="A91" s="11" t="s">
        <v>89</v>
      </c>
      <c r="B91" s="5" t="s">
        <v>7</v>
      </c>
      <c r="C91" s="119">
        <v>300006</v>
      </c>
      <c r="D91" s="120" t="s">
        <v>747</v>
      </c>
      <c r="E91" s="175">
        <v>8999999294038</v>
      </c>
      <c r="F91" s="8">
        <v>26</v>
      </c>
    </row>
    <row r="92" spans="1:6" s="18" customFormat="1">
      <c r="A92" s="11" t="s">
        <v>89</v>
      </c>
      <c r="B92" s="5" t="s">
        <v>7</v>
      </c>
      <c r="C92" s="119">
        <v>300009</v>
      </c>
      <c r="D92" s="120" t="s">
        <v>748</v>
      </c>
      <c r="E92" s="175">
        <v>8999999034610</v>
      </c>
      <c r="F92" s="8">
        <v>8</v>
      </c>
    </row>
    <row r="93" spans="1:6" s="18" customFormat="1">
      <c r="A93" s="11" t="s">
        <v>89</v>
      </c>
      <c r="B93" s="5" t="s">
        <v>7</v>
      </c>
      <c r="C93" s="119">
        <v>300012</v>
      </c>
      <c r="D93" s="120" t="s">
        <v>749</v>
      </c>
      <c r="E93" s="175">
        <v>8999999005610</v>
      </c>
      <c r="F93" s="8">
        <v>12</v>
      </c>
    </row>
    <row r="94" spans="1:6" s="18" customFormat="1">
      <c r="A94" s="11" t="s">
        <v>89</v>
      </c>
      <c r="B94" s="5" t="s">
        <v>7</v>
      </c>
      <c r="C94" s="119">
        <v>300021</v>
      </c>
      <c r="D94" s="120" t="s">
        <v>750</v>
      </c>
      <c r="E94" s="175">
        <v>8999999005689</v>
      </c>
      <c r="F94" s="8">
        <v>10</v>
      </c>
    </row>
    <row r="95" spans="1:6" s="18" customFormat="1">
      <c r="A95" s="11" t="s">
        <v>89</v>
      </c>
      <c r="B95" s="5" t="s">
        <v>7</v>
      </c>
      <c r="C95" s="119">
        <v>300040</v>
      </c>
      <c r="D95" s="120" t="s">
        <v>751</v>
      </c>
      <c r="E95" s="175">
        <v>8999999513757</v>
      </c>
      <c r="F95" s="8">
        <v>8</v>
      </c>
    </row>
    <row r="96" spans="1:6" s="18" customFormat="1">
      <c r="A96" s="11" t="s">
        <v>89</v>
      </c>
      <c r="B96" s="5" t="s">
        <v>7</v>
      </c>
      <c r="C96" s="119">
        <v>300042</v>
      </c>
      <c r="D96" s="120" t="s">
        <v>647</v>
      </c>
      <c r="E96" s="175">
        <v>8998866820035</v>
      </c>
      <c r="F96" s="8"/>
    </row>
    <row r="97" spans="1:6" s="18" customFormat="1">
      <c r="A97" s="11" t="s">
        <v>89</v>
      </c>
      <c r="B97" s="5" t="s">
        <v>7</v>
      </c>
      <c r="C97" s="119">
        <v>300043</v>
      </c>
      <c r="D97" s="120" t="s">
        <v>115</v>
      </c>
      <c r="E97" s="175">
        <v>8998866820042</v>
      </c>
      <c r="F97" s="8"/>
    </row>
    <row r="98" spans="1:6" s="18" customFormat="1">
      <c r="A98" s="11" t="s">
        <v>89</v>
      </c>
      <c r="B98" s="5" t="s">
        <v>7</v>
      </c>
      <c r="C98" s="119">
        <v>300058</v>
      </c>
      <c r="D98" s="120" t="s">
        <v>752</v>
      </c>
      <c r="E98" s="175">
        <v>8999999520007</v>
      </c>
      <c r="F98" s="8">
        <v>0</v>
      </c>
    </row>
    <row r="99" spans="1:6" s="18" customFormat="1">
      <c r="A99" s="11" t="s">
        <v>25</v>
      </c>
      <c r="B99" s="5" t="s">
        <v>7</v>
      </c>
      <c r="C99" s="119">
        <v>500004</v>
      </c>
      <c r="D99" s="120" t="s">
        <v>651</v>
      </c>
      <c r="E99" s="175">
        <v>8990333166059</v>
      </c>
      <c r="F99" s="8">
        <v>0</v>
      </c>
    </row>
    <row r="100" spans="1:6" s="18" customFormat="1">
      <c r="A100" s="11" t="s">
        <v>25</v>
      </c>
      <c r="B100" s="5" t="s">
        <v>7</v>
      </c>
      <c r="C100" s="119">
        <v>500006</v>
      </c>
      <c r="D100" s="120" t="s">
        <v>652</v>
      </c>
      <c r="E100" s="175">
        <v>8990333166042</v>
      </c>
      <c r="F100" s="8">
        <v>0</v>
      </c>
    </row>
    <row r="101" spans="1:6" s="18" customFormat="1">
      <c r="A101" s="11" t="s">
        <v>25</v>
      </c>
      <c r="B101" s="5" t="s">
        <v>7</v>
      </c>
      <c r="C101" s="119">
        <v>500007</v>
      </c>
      <c r="D101" s="120" t="s">
        <v>653</v>
      </c>
      <c r="E101" s="175">
        <v>8990333160170</v>
      </c>
      <c r="F101" s="8">
        <v>0</v>
      </c>
    </row>
    <row r="102" spans="1:6" s="18" customFormat="1">
      <c r="A102" s="11" t="s">
        <v>25</v>
      </c>
      <c r="B102" s="5" t="s">
        <v>7</v>
      </c>
      <c r="C102" s="119">
        <v>500010</v>
      </c>
      <c r="D102" s="120" t="s">
        <v>753</v>
      </c>
      <c r="E102" s="175">
        <v>8990800100050</v>
      </c>
      <c r="F102" s="8">
        <v>0</v>
      </c>
    </row>
    <row r="103" spans="1:6" s="18" customFormat="1">
      <c r="A103" s="11" t="s">
        <v>25</v>
      </c>
      <c r="B103" s="5" t="s">
        <v>7</v>
      </c>
      <c r="C103" s="119">
        <v>500011</v>
      </c>
      <c r="D103" s="120" t="s">
        <v>423</v>
      </c>
      <c r="E103" s="175">
        <v>96068809</v>
      </c>
      <c r="F103" s="8">
        <v>0</v>
      </c>
    </row>
    <row r="104" spans="1:6" s="18" customFormat="1">
      <c r="A104" s="11" t="s">
        <v>25</v>
      </c>
      <c r="B104" s="5" t="s">
        <v>7</v>
      </c>
      <c r="C104" s="119">
        <v>500022</v>
      </c>
      <c r="D104" s="120" t="s">
        <v>655</v>
      </c>
      <c r="E104" s="175">
        <v>8990333166073</v>
      </c>
      <c r="F104" s="8">
        <v>0</v>
      </c>
    </row>
    <row r="105" spans="1:6" s="18" customFormat="1">
      <c r="A105" s="11" t="s">
        <v>25</v>
      </c>
      <c r="B105" s="5" t="s">
        <v>7</v>
      </c>
      <c r="C105" s="119">
        <v>500032</v>
      </c>
      <c r="D105" s="120" t="s">
        <v>656</v>
      </c>
      <c r="E105" s="175">
        <v>8990333166127</v>
      </c>
      <c r="F105" s="8">
        <v>0</v>
      </c>
    </row>
    <row r="106" spans="1:6" s="18" customFormat="1">
      <c r="A106" s="11" t="s">
        <v>25</v>
      </c>
      <c r="B106" s="5" t="s">
        <v>7</v>
      </c>
      <c r="C106" s="119">
        <v>500036</v>
      </c>
      <c r="D106" s="120" t="s">
        <v>657</v>
      </c>
      <c r="E106" s="175">
        <v>8992919856019</v>
      </c>
      <c r="F106" s="8">
        <v>0</v>
      </c>
    </row>
    <row r="107" spans="1:6" s="18" customFormat="1">
      <c r="A107" s="11" t="s">
        <v>25</v>
      </c>
      <c r="B107" s="5" t="s">
        <v>7</v>
      </c>
      <c r="C107" s="119">
        <v>500037</v>
      </c>
      <c r="D107" s="120" t="s">
        <v>658</v>
      </c>
      <c r="E107" s="175">
        <v>8992919856026</v>
      </c>
      <c r="F107" s="8">
        <v>0</v>
      </c>
    </row>
    <row r="108" spans="1:6" s="18" customFormat="1">
      <c r="A108" s="11" t="s">
        <v>25</v>
      </c>
      <c r="B108" s="5" t="s">
        <v>7</v>
      </c>
      <c r="C108" s="119">
        <v>500038</v>
      </c>
      <c r="D108" s="120" t="s">
        <v>659</v>
      </c>
      <c r="E108" s="175">
        <v>8992919856033</v>
      </c>
      <c r="F108" s="8">
        <v>0</v>
      </c>
    </row>
    <row r="109" spans="1:6" s="18" customFormat="1">
      <c r="A109" s="11" t="s">
        <v>25</v>
      </c>
      <c r="B109" s="5" t="s">
        <v>7</v>
      </c>
      <c r="C109" s="119">
        <v>500045</v>
      </c>
      <c r="D109" s="120" t="s">
        <v>424</v>
      </c>
      <c r="E109" s="175">
        <v>50604159</v>
      </c>
      <c r="F109" s="8">
        <v>0</v>
      </c>
    </row>
    <row r="110" spans="1:6" s="18" customFormat="1">
      <c r="A110" s="11" t="s">
        <v>25</v>
      </c>
      <c r="B110" s="5" t="s">
        <v>7</v>
      </c>
      <c r="C110" s="119">
        <v>500053</v>
      </c>
      <c r="D110" s="120" t="s">
        <v>661</v>
      </c>
      <c r="E110" s="175">
        <v>8991771200329</v>
      </c>
      <c r="F110" s="8">
        <v>0</v>
      </c>
    </row>
    <row r="111" spans="1:6" s="18" customFormat="1">
      <c r="A111" s="11" t="s">
        <v>25</v>
      </c>
      <c r="B111" s="5" t="s">
        <v>7</v>
      </c>
      <c r="C111" s="119">
        <v>500055</v>
      </c>
      <c r="D111" s="120" t="s">
        <v>662</v>
      </c>
      <c r="E111" s="175">
        <v>8991771200398</v>
      </c>
      <c r="F111" s="8">
        <v>0</v>
      </c>
    </row>
    <row r="112" spans="1:6" s="18" customFormat="1">
      <c r="A112" s="11" t="s">
        <v>40</v>
      </c>
      <c r="B112" s="5" t="s">
        <v>41</v>
      </c>
      <c r="C112" s="119">
        <v>910045</v>
      </c>
      <c r="D112" s="120" t="s">
        <v>229</v>
      </c>
      <c r="E112" s="175">
        <v>8997005540438</v>
      </c>
      <c r="F112" s="8">
        <v>21</v>
      </c>
    </row>
    <row r="113" spans="1:6" s="18" customFormat="1">
      <c r="A113" s="11" t="s">
        <v>40</v>
      </c>
      <c r="B113" s="5" t="s">
        <v>41</v>
      </c>
      <c r="C113" s="119">
        <v>910046</v>
      </c>
      <c r="D113" s="120" t="s">
        <v>230</v>
      </c>
      <c r="E113" s="175">
        <v>8997005540445</v>
      </c>
      <c r="F113" s="8">
        <v>2</v>
      </c>
    </row>
    <row r="114" spans="1:6" s="18" customFormat="1">
      <c r="A114" s="11" t="s">
        <v>40</v>
      </c>
      <c r="B114" s="5" t="s">
        <v>41</v>
      </c>
      <c r="C114" s="119">
        <v>910047</v>
      </c>
      <c r="D114" s="120" t="s">
        <v>663</v>
      </c>
      <c r="E114" s="175">
        <v>8997005540469</v>
      </c>
      <c r="F114" s="8">
        <v>0</v>
      </c>
    </row>
    <row r="115" spans="1:6" s="18" customFormat="1">
      <c r="A115" s="11" t="s">
        <v>40</v>
      </c>
      <c r="B115" s="5" t="s">
        <v>41</v>
      </c>
      <c r="C115" s="119">
        <v>910048</v>
      </c>
      <c r="D115" s="120" t="s">
        <v>664</v>
      </c>
      <c r="E115" s="175">
        <v>8997005540476</v>
      </c>
      <c r="F115" s="8">
        <v>0</v>
      </c>
    </row>
    <row r="116" spans="1:6" s="18" customFormat="1">
      <c r="A116" s="11" t="s">
        <v>40</v>
      </c>
      <c r="B116" s="5" t="s">
        <v>41</v>
      </c>
      <c r="C116" s="119">
        <v>910049</v>
      </c>
      <c r="D116" s="120" t="s">
        <v>192</v>
      </c>
      <c r="E116" s="175">
        <v>6949070600243</v>
      </c>
      <c r="F116" s="8">
        <v>0</v>
      </c>
    </row>
    <row r="117" spans="1:6" s="18" customFormat="1">
      <c r="A117" s="11" t="s">
        <v>40</v>
      </c>
      <c r="B117" s="5" t="s">
        <v>41</v>
      </c>
      <c r="C117" s="119">
        <v>910050</v>
      </c>
      <c r="D117" s="120" t="s">
        <v>336</v>
      </c>
      <c r="E117" s="175">
        <v>6949070601141</v>
      </c>
      <c r="F117" s="8">
        <v>0</v>
      </c>
    </row>
    <row r="118" spans="1:6" s="18" customFormat="1">
      <c r="A118" s="11" t="s">
        <v>40</v>
      </c>
      <c r="B118" s="5" t="s">
        <v>41</v>
      </c>
      <c r="C118" s="119">
        <v>910051</v>
      </c>
      <c r="D118" s="120" t="s">
        <v>193</v>
      </c>
      <c r="E118" s="175">
        <v>6949070600649</v>
      </c>
      <c r="F118" s="8">
        <v>0</v>
      </c>
    </row>
    <row r="119" spans="1:6" s="18" customFormat="1">
      <c r="A119" s="11" t="s">
        <v>40</v>
      </c>
      <c r="B119" s="5" t="s">
        <v>41</v>
      </c>
      <c r="C119" s="119">
        <v>910052</v>
      </c>
      <c r="D119" s="120" t="s">
        <v>258</v>
      </c>
      <c r="E119" s="175">
        <v>6949070600533</v>
      </c>
      <c r="F119" s="8">
        <v>0</v>
      </c>
    </row>
    <row r="120" spans="1:6" s="18" customFormat="1">
      <c r="A120" s="11" t="s">
        <v>40</v>
      </c>
      <c r="B120" s="5" t="s">
        <v>41</v>
      </c>
      <c r="C120" s="119">
        <v>910053</v>
      </c>
      <c r="D120" s="120" t="s">
        <v>259</v>
      </c>
      <c r="E120" s="175">
        <v>6949070600502</v>
      </c>
      <c r="F120" s="8">
        <v>0</v>
      </c>
    </row>
    <row r="121" spans="1:6" s="18" customFormat="1">
      <c r="A121" s="11" t="s">
        <v>40</v>
      </c>
      <c r="B121" s="5" t="s">
        <v>41</v>
      </c>
      <c r="C121" s="119">
        <v>910054</v>
      </c>
      <c r="D121" s="120" t="s">
        <v>496</v>
      </c>
      <c r="E121" s="175">
        <v>6949070602988</v>
      </c>
      <c r="F121" s="8">
        <v>0</v>
      </c>
    </row>
    <row r="122" spans="1:6" s="18" customFormat="1">
      <c r="A122" s="11" t="s">
        <v>40</v>
      </c>
      <c r="B122" s="5" t="s">
        <v>41</v>
      </c>
      <c r="C122" s="119">
        <v>910055</v>
      </c>
      <c r="D122" s="120" t="s">
        <v>257</v>
      </c>
      <c r="E122" s="175">
        <v>6949070603015</v>
      </c>
      <c r="F122" s="8">
        <v>10</v>
      </c>
    </row>
    <row r="123" spans="1:6" s="18" customFormat="1">
      <c r="A123" s="11" t="s">
        <v>40</v>
      </c>
      <c r="B123" s="5" t="s">
        <v>41</v>
      </c>
      <c r="C123" s="119">
        <v>910056</v>
      </c>
      <c r="D123" s="120" t="s">
        <v>43</v>
      </c>
      <c r="E123" s="175">
        <v>6949070603022</v>
      </c>
      <c r="F123" s="8">
        <v>0</v>
      </c>
    </row>
    <row r="124" spans="1:6" s="18" customFormat="1">
      <c r="A124" s="11" t="s">
        <v>40</v>
      </c>
      <c r="B124" s="5" t="s">
        <v>41</v>
      </c>
      <c r="C124" s="119">
        <v>910057</v>
      </c>
      <c r="D124" s="120" t="s">
        <v>44</v>
      </c>
      <c r="E124" s="175">
        <v>6949070603039</v>
      </c>
      <c r="F124" s="8">
        <v>0</v>
      </c>
    </row>
    <row r="125" spans="1:6" s="18" customFormat="1">
      <c r="A125" s="11" t="s">
        <v>40</v>
      </c>
      <c r="B125" s="5" t="s">
        <v>41</v>
      </c>
      <c r="C125" s="119">
        <v>910058</v>
      </c>
      <c r="D125" s="120" t="s">
        <v>337</v>
      </c>
      <c r="E125" s="175">
        <v>6949070600045</v>
      </c>
      <c r="F125" s="8">
        <v>0</v>
      </c>
    </row>
    <row r="126" spans="1:6" s="18" customFormat="1">
      <c r="A126" s="11" t="s">
        <v>40</v>
      </c>
      <c r="B126" s="5" t="s">
        <v>41</v>
      </c>
      <c r="C126" s="119">
        <v>910059</v>
      </c>
      <c r="D126" s="120" t="s">
        <v>338</v>
      </c>
      <c r="E126" s="175">
        <v>6949070600069</v>
      </c>
      <c r="F126" s="8">
        <v>0</v>
      </c>
    </row>
    <row r="127" spans="1:6" s="18" customFormat="1">
      <c r="A127" s="11" t="s">
        <v>40</v>
      </c>
      <c r="B127" s="5" t="s">
        <v>41</v>
      </c>
      <c r="C127" s="119">
        <v>910060</v>
      </c>
      <c r="D127" s="120" t="s">
        <v>339</v>
      </c>
      <c r="E127" s="175">
        <v>6949070600083</v>
      </c>
      <c r="F127" s="8">
        <v>0</v>
      </c>
    </row>
    <row r="128" spans="1:6" s="18" customFormat="1">
      <c r="A128" s="11" t="s">
        <v>40</v>
      </c>
      <c r="B128" s="5" t="s">
        <v>41</v>
      </c>
      <c r="C128" s="119">
        <v>910061</v>
      </c>
      <c r="D128" s="120" t="s">
        <v>340</v>
      </c>
      <c r="E128" s="175">
        <v>6949070600199</v>
      </c>
      <c r="F128" s="8">
        <v>0</v>
      </c>
    </row>
    <row r="129" spans="1:6" s="18" customFormat="1">
      <c r="A129" s="11" t="s">
        <v>40</v>
      </c>
      <c r="B129" s="5" t="s">
        <v>41</v>
      </c>
      <c r="C129" s="119">
        <v>910062</v>
      </c>
      <c r="D129" s="120" t="s">
        <v>341</v>
      </c>
      <c r="E129" s="175">
        <v>6949070600038</v>
      </c>
      <c r="F129" s="8">
        <v>0</v>
      </c>
    </row>
    <row r="130" spans="1:6" s="18" customFormat="1">
      <c r="A130" s="11" t="s">
        <v>40</v>
      </c>
      <c r="B130" s="5" t="s">
        <v>41</v>
      </c>
      <c r="C130" s="119">
        <v>910063</v>
      </c>
      <c r="D130" s="120" t="s">
        <v>260</v>
      </c>
      <c r="E130" s="175">
        <v>8997208170272</v>
      </c>
      <c r="F130" s="8">
        <v>2</v>
      </c>
    </row>
    <row r="131" spans="1:6" s="18" customFormat="1">
      <c r="A131" s="11" t="s">
        <v>40</v>
      </c>
      <c r="B131" s="5" t="s">
        <v>41</v>
      </c>
      <c r="C131" s="119">
        <v>910064</v>
      </c>
      <c r="D131" s="120" t="s">
        <v>261</v>
      </c>
      <c r="E131" s="175">
        <v>8997208170289</v>
      </c>
      <c r="F131" s="8">
        <v>9</v>
      </c>
    </row>
    <row r="132" spans="1:6" s="18" customFormat="1">
      <c r="A132" s="11" t="s">
        <v>40</v>
      </c>
      <c r="B132" s="5" t="s">
        <v>41</v>
      </c>
      <c r="C132" s="119">
        <v>910065</v>
      </c>
      <c r="D132" s="120" t="s">
        <v>665</v>
      </c>
      <c r="E132" s="175">
        <v>8997208170142</v>
      </c>
      <c r="F132" s="8">
        <v>6</v>
      </c>
    </row>
    <row r="133" spans="1:6" s="18" customFormat="1">
      <c r="A133" s="11" t="s">
        <v>40</v>
      </c>
      <c r="B133" s="5" t="s">
        <v>41</v>
      </c>
      <c r="C133" s="119">
        <v>910066</v>
      </c>
      <c r="D133" s="120" t="s">
        <v>666</v>
      </c>
      <c r="E133" s="175">
        <v>8997208170166</v>
      </c>
      <c r="F133" s="8">
        <v>4</v>
      </c>
    </row>
    <row r="134" spans="1:6" s="18" customFormat="1">
      <c r="A134" s="11" t="s">
        <v>40</v>
      </c>
      <c r="B134" s="5" t="s">
        <v>41</v>
      </c>
      <c r="C134" s="119">
        <v>910067</v>
      </c>
      <c r="D134" s="120" t="s">
        <v>667</v>
      </c>
      <c r="E134" s="175">
        <v>8997208170173</v>
      </c>
      <c r="F134" s="8">
        <v>0</v>
      </c>
    </row>
    <row r="135" spans="1:6" s="18" customFormat="1">
      <c r="A135" s="11" t="s">
        <v>40</v>
      </c>
      <c r="B135" s="5" t="s">
        <v>41</v>
      </c>
      <c r="C135" s="119">
        <v>910068</v>
      </c>
      <c r="D135" s="120" t="s">
        <v>668</v>
      </c>
      <c r="E135" s="175">
        <v>8997208170180</v>
      </c>
      <c r="F135" s="8">
        <v>4</v>
      </c>
    </row>
    <row r="136" spans="1:6" s="18" customFormat="1">
      <c r="A136" s="11" t="s">
        <v>40</v>
      </c>
      <c r="B136" s="5" t="s">
        <v>41</v>
      </c>
      <c r="C136" s="119">
        <v>910069</v>
      </c>
      <c r="D136" s="120" t="s">
        <v>669</v>
      </c>
      <c r="E136" s="175">
        <v>8997208170197</v>
      </c>
      <c r="F136" s="8">
        <v>0</v>
      </c>
    </row>
    <row r="137" spans="1:6" s="18" customFormat="1">
      <c r="A137" s="11" t="s">
        <v>40</v>
      </c>
      <c r="B137" s="5" t="s">
        <v>41</v>
      </c>
      <c r="C137" s="119">
        <v>910070</v>
      </c>
      <c r="D137" s="120" t="s">
        <v>670</v>
      </c>
      <c r="E137" s="175">
        <v>8997208170203</v>
      </c>
      <c r="F137" s="8">
        <v>5</v>
      </c>
    </row>
    <row r="138" spans="1:6" s="18" customFormat="1">
      <c r="A138" s="11" t="s">
        <v>40</v>
      </c>
      <c r="B138" s="5" t="s">
        <v>41</v>
      </c>
      <c r="C138" s="119">
        <v>910071</v>
      </c>
      <c r="D138" s="120" t="s">
        <v>671</v>
      </c>
      <c r="E138" s="175">
        <v>8997208170210</v>
      </c>
      <c r="F138" s="8">
        <v>5</v>
      </c>
    </row>
    <row r="139" spans="1:6" s="18" customFormat="1">
      <c r="A139" s="11" t="s">
        <v>40</v>
      </c>
      <c r="B139" s="5" t="s">
        <v>41</v>
      </c>
      <c r="C139" s="119">
        <v>910072</v>
      </c>
      <c r="D139" s="120" t="s">
        <v>672</v>
      </c>
      <c r="E139" s="175">
        <v>8997208170227</v>
      </c>
      <c r="F139" s="8"/>
    </row>
    <row r="140" spans="1:6" s="18" customFormat="1">
      <c r="A140" s="11" t="s">
        <v>40</v>
      </c>
      <c r="B140" s="5" t="s">
        <v>41</v>
      </c>
      <c r="C140" s="119">
        <v>910073</v>
      </c>
      <c r="D140" s="120" t="s">
        <v>673</v>
      </c>
      <c r="E140" s="175">
        <v>8997208170234</v>
      </c>
      <c r="F140" s="8"/>
    </row>
    <row r="141" spans="1:6" s="18" customFormat="1">
      <c r="A141" s="11" t="s">
        <v>40</v>
      </c>
      <c r="B141" s="5" t="s">
        <v>41</v>
      </c>
      <c r="C141" s="119">
        <v>910074</v>
      </c>
      <c r="D141" s="120" t="s">
        <v>674</v>
      </c>
      <c r="E141" s="175">
        <v>8997208170241</v>
      </c>
      <c r="F141" s="8">
        <v>5</v>
      </c>
    </row>
    <row r="142" spans="1:6" s="18" customFormat="1">
      <c r="A142" s="11" t="s">
        <v>40</v>
      </c>
      <c r="B142" s="5" t="s">
        <v>41</v>
      </c>
      <c r="C142" s="119">
        <v>910075</v>
      </c>
      <c r="D142" s="120" t="s">
        <v>675</v>
      </c>
      <c r="E142" s="175">
        <v>8997208170258</v>
      </c>
      <c r="F142" s="8">
        <v>5</v>
      </c>
    </row>
    <row r="143" spans="1:6" s="18" customFormat="1">
      <c r="A143" s="11" t="s">
        <v>40</v>
      </c>
      <c r="B143" s="5" t="s">
        <v>41</v>
      </c>
      <c r="C143" s="119">
        <v>910076</v>
      </c>
      <c r="D143" s="120" t="s">
        <v>676</v>
      </c>
      <c r="E143" s="175">
        <v>8997208170265</v>
      </c>
      <c r="F143" s="8">
        <v>5</v>
      </c>
    </row>
    <row r="144" spans="1:6" s="18" customFormat="1">
      <c r="A144" s="11" t="s">
        <v>40</v>
      </c>
      <c r="B144" s="5" t="s">
        <v>41</v>
      </c>
      <c r="C144" s="119">
        <v>990004</v>
      </c>
      <c r="D144" s="120" t="s">
        <v>45</v>
      </c>
      <c r="E144" s="175" t="s">
        <v>46</v>
      </c>
      <c r="F144" s="8">
        <v>16</v>
      </c>
    </row>
    <row r="145" spans="1:6" s="18" customFormat="1">
      <c r="A145" s="11" t="s">
        <v>25</v>
      </c>
      <c r="B145" s="5" t="s">
        <v>7</v>
      </c>
      <c r="C145" s="119">
        <v>990021</v>
      </c>
      <c r="D145" s="120" t="s">
        <v>754</v>
      </c>
      <c r="E145" s="175">
        <v>89686060126</v>
      </c>
      <c r="F145" s="8"/>
    </row>
    <row r="146" spans="1:6" s="18" customFormat="1">
      <c r="A146" s="11" t="s">
        <v>25</v>
      </c>
      <c r="B146" s="5" t="s">
        <v>7</v>
      </c>
      <c r="C146" s="119">
        <v>990029</v>
      </c>
      <c r="D146" s="120" t="s">
        <v>755</v>
      </c>
      <c r="E146" s="175">
        <v>89686060027</v>
      </c>
      <c r="F146" s="8" t="s">
        <v>756</v>
      </c>
    </row>
    <row r="147" spans="1:6" s="18" customFormat="1">
      <c r="A147" s="5" t="s">
        <v>40</v>
      </c>
      <c r="B147" s="5" t="s">
        <v>41</v>
      </c>
      <c r="C147" s="119">
        <v>990056</v>
      </c>
      <c r="D147" s="120" t="s">
        <v>757</v>
      </c>
      <c r="E147" s="175" t="s">
        <v>758</v>
      </c>
      <c r="F147" s="8">
        <v>0</v>
      </c>
    </row>
    <row r="148" spans="1:6" s="18" customFormat="1">
      <c r="A148" s="5" t="s">
        <v>25</v>
      </c>
      <c r="B148" s="5" t="s">
        <v>7</v>
      </c>
      <c r="C148" s="119">
        <v>990062</v>
      </c>
      <c r="D148" s="120" t="s">
        <v>677</v>
      </c>
      <c r="E148" s="175">
        <v>8990800100012</v>
      </c>
      <c r="F148" s="8"/>
    </row>
    <row r="149" spans="1:6" s="18" customFormat="1">
      <c r="A149" s="5" t="s">
        <v>40</v>
      </c>
      <c r="B149" s="5" t="s">
        <v>41</v>
      </c>
      <c r="C149" s="119">
        <v>990097</v>
      </c>
      <c r="D149" s="120" t="s">
        <v>218</v>
      </c>
      <c r="E149" s="175">
        <v>8997013460988</v>
      </c>
      <c r="F149" s="8">
        <v>20</v>
      </c>
    </row>
    <row r="150" spans="1:6" s="18" customFormat="1">
      <c r="A150" s="5" t="s">
        <v>25</v>
      </c>
      <c r="B150" s="5" t="s">
        <v>7</v>
      </c>
      <c r="C150" s="119">
        <v>990100</v>
      </c>
      <c r="D150" s="120" t="s">
        <v>759</v>
      </c>
      <c r="E150" s="175">
        <v>89686060461</v>
      </c>
      <c r="F150" s="8"/>
    </row>
    <row r="151" spans="1:6" s="18" customFormat="1">
      <c r="A151" s="5" t="s">
        <v>40</v>
      </c>
      <c r="B151" s="5" t="s">
        <v>41</v>
      </c>
      <c r="C151" s="119">
        <v>990102</v>
      </c>
      <c r="D151" s="120" t="s">
        <v>326</v>
      </c>
      <c r="E151" s="175" t="s">
        <v>62</v>
      </c>
      <c r="F151" s="8">
        <v>21</v>
      </c>
    </row>
    <row r="152" spans="1:6" s="18" customFormat="1">
      <c r="A152" s="5" t="s">
        <v>124</v>
      </c>
      <c r="B152" s="5" t="s">
        <v>7</v>
      </c>
      <c r="C152" s="119">
        <v>990114</v>
      </c>
      <c r="D152" s="120" t="s">
        <v>194</v>
      </c>
      <c r="E152" s="175">
        <v>8992931005099</v>
      </c>
      <c r="F152" s="8"/>
    </row>
    <row r="153" spans="1:6" s="18" customFormat="1">
      <c r="A153" s="5" t="s">
        <v>40</v>
      </c>
      <c r="B153" s="5" t="s">
        <v>41</v>
      </c>
      <c r="C153" s="119">
        <v>990115</v>
      </c>
      <c r="D153" s="120" t="s">
        <v>51</v>
      </c>
      <c r="E153" s="175" t="s">
        <v>52</v>
      </c>
      <c r="F153" s="8">
        <v>35</v>
      </c>
    </row>
    <row r="154" spans="1:6" s="18" customFormat="1">
      <c r="A154" s="5" t="s">
        <v>40</v>
      </c>
      <c r="B154" s="5" t="s">
        <v>41</v>
      </c>
      <c r="C154" s="119">
        <v>990116</v>
      </c>
      <c r="D154" s="120" t="s">
        <v>47</v>
      </c>
      <c r="E154" s="175" t="s">
        <v>48</v>
      </c>
      <c r="F154" s="8">
        <v>34</v>
      </c>
    </row>
    <row r="155" spans="1:6" s="18" customFormat="1">
      <c r="A155" s="5" t="s">
        <v>40</v>
      </c>
      <c r="B155" s="5" t="s">
        <v>41</v>
      </c>
      <c r="C155" s="119">
        <v>990117</v>
      </c>
      <c r="D155" s="120" t="s">
        <v>49</v>
      </c>
      <c r="E155" s="175" t="s">
        <v>50</v>
      </c>
      <c r="F155" s="8">
        <v>23</v>
      </c>
    </row>
    <row r="156" spans="1:6" s="18" customFormat="1">
      <c r="A156" s="11" t="s">
        <v>124</v>
      </c>
      <c r="B156" s="11" t="s">
        <v>7</v>
      </c>
      <c r="C156" s="119">
        <v>990120</v>
      </c>
      <c r="D156" s="120" t="s">
        <v>678</v>
      </c>
      <c r="E156" s="175">
        <v>8888103006868</v>
      </c>
      <c r="F156" s="8">
        <v>0</v>
      </c>
    </row>
    <row r="157" spans="1:6" s="18" customFormat="1">
      <c r="A157" s="11" t="s">
        <v>124</v>
      </c>
      <c r="B157" s="11" t="s">
        <v>7</v>
      </c>
      <c r="C157" s="119">
        <v>990121</v>
      </c>
      <c r="D157" s="120" t="s">
        <v>679</v>
      </c>
      <c r="E157" s="175">
        <v>8888103006820</v>
      </c>
      <c r="F157" s="8">
        <v>0</v>
      </c>
    </row>
    <row r="158" spans="1:6" s="18" customFormat="1">
      <c r="A158" s="11" t="s">
        <v>124</v>
      </c>
      <c r="B158" s="11" t="s">
        <v>7</v>
      </c>
      <c r="C158" s="119">
        <v>990125</v>
      </c>
      <c r="D158" s="120" t="s">
        <v>680</v>
      </c>
      <c r="E158" s="175">
        <v>8998103014371</v>
      </c>
      <c r="F158" s="8">
        <v>0</v>
      </c>
    </row>
    <row r="159" spans="1:6" s="18" customFormat="1">
      <c r="A159" s="11" t="s">
        <v>40</v>
      </c>
      <c r="B159" s="11" t="s">
        <v>41</v>
      </c>
      <c r="C159" s="119">
        <v>990133</v>
      </c>
      <c r="D159" s="120" t="s">
        <v>760</v>
      </c>
      <c r="E159" s="175" t="s">
        <v>761</v>
      </c>
      <c r="F159" s="8">
        <v>0</v>
      </c>
    </row>
    <row r="160" spans="1:6" s="18" customFormat="1">
      <c r="A160" s="11" t="s">
        <v>6</v>
      </c>
      <c r="B160" s="11" t="s">
        <v>7</v>
      </c>
      <c r="C160" s="119">
        <v>988100021</v>
      </c>
      <c r="D160" s="120" t="s">
        <v>11</v>
      </c>
      <c r="E160" s="175">
        <v>8992388101054</v>
      </c>
      <c r="F160" s="8">
        <v>56</v>
      </c>
    </row>
    <row r="161" spans="1:6" s="18" customFormat="1">
      <c r="A161" s="11" t="s">
        <v>6</v>
      </c>
      <c r="B161" s="11" t="s">
        <v>7</v>
      </c>
      <c r="C161" s="119">
        <v>988100023</v>
      </c>
      <c r="D161" s="120" t="s">
        <v>762</v>
      </c>
      <c r="E161" s="175">
        <v>8992388133635</v>
      </c>
      <c r="F161" s="8"/>
    </row>
    <row r="162" spans="1:6" s="18" customFormat="1">
      <c r="A162" s="11" t="s">
        <v>6</v>
      </c>
      <c r="B162" s="11" t="s">
        <v>7</v>
      </c>
      <c r="C162" s="119">
        <v>988100024</v>
      </c>
      <c r="D162" s="120" t="s">
        <v>12</v>
      </c>
      <c r="E162" s="175">
        <v>8992388133017</v>
      </c>
      <c r="F162" s="8">
        <v>52</v>
      </c>
    </row>
    <row r="163" spans="1:6" s="18" customFormat="1">
      <c r="A163" s="11" t="s">
        <v>6</v>
      </c>
      <c r="B163" s="11" t="s">
        <v>7</v>
      </c>
      <c r="C163" s="119">
        <v>988100025</v>
      </c>
      <c r="D163" s="120" t="s">
        <v>13</v>
      </c>
      <c r="E163" s="175">
        <v>8992388133345</v>
      </c>
      <c r="F163" s="8">
        <v>81</v>
      </c>
    </row>
    <row r="164" spans="1:6" s="18" customFormat="1">
      <c r="A164" s="11" t="s">
        <v>6</v>
      </c>
      <c r="B164" s="11" t="s">
        <v>7</v>
      </c>
      <c r="C164" s="119">
        <v>988100026</v>
      </c>
      <c r="D164" s="120" t="s">
        <v>21</v>
      </c>
      <c r="E164" s="175">
        <v>8992772586016</v>
      </c>
      <c r="F164" s="8">
        <v>0</v>
      </c>
    </row>
    <row r="165" spans="1:6" s="18" customFormat="1">
      <c r="A165" s="11" t="s">
        <v>25</v>
      </c>
      <c r="B165" s="11" t="s">
        <v>7</v>
      </c>
      <c r="C165" s="176">
        <v>988100046</v>
      </c>
      <c r="D165" s="177" t="s">
        <v>266</v>
      </c>
      <c r="E165" s="178">
        <v>8993039242522</v>
      </c>
      <c r="F165" s="8">
        <v>4</v>
      </c>
    </row>
    <row r="166" spans="1:6" s="18" customFormat="1">
      <c r="A166" s="11" t="s">
        <v>25</v>
      </c>
      <c r="B166" s="11" t="s">
        <v>7</v>
      </c>
      <c r="C166" s="176">
        <v>988100048</v>
      </c>
      <c r="D166" s="177" t="s">
        <v>267</v>
      </c>
      <c r="E166" s="175">
        <v>8995077604515</v>
      </c>
      <c r="F166" s="8">
        <v>5</v>
      </c>
    </row>
    <row r="167" spans="1:6" s="18" customFormat="1">
      <c r="A167" s="11" t="s">
        <v>25</v>
      </c>
      <c r="B167" s="11" t="s">
        <v>7</v>
      </c>
      <c r="C167" s="119">
        <v>988100059</v>
      </c>
      <c r="D167" s="120" t="s">
        <v>763</v>
      </c>
      <c r="E167" s="175">
        <v>89686598612</v>
      </c>
      <c r="F167" s="8"/>
    </row>
    <row r="168" spans="1:6" s="18" customFormat="1">
      <c r="A168" s="11" t="s">
        <v>40</v>
      </c>
      <c r="B168" s="11" t="s">
        <v>41</v>
      </c>
      <c r="C168" s="119">
        <v>988100066</v>
      </c>
      <c r="D168" s="120" t="s">
        <v>63</v>
      </c>
      <c r="E168" s="175" t="s">
        <v>64</v>
      </c>
      <c r="F168" s="8">
        <v>18</v>
      </c>
    </row>
    <row r="169" spans="1:6" s="18" customFormat="1">
      <c r="A169" s="11" t="s">
        <v>40</v>
      </c>
      <c r="B169" s="11" t="s">
        <v>41</v>
      </c>
      <c r="C169" s="119">
        <v>988100068</v>
      </c>
      <c r="D169" s="120" t="s">
        <v>764</v>
      </c>
      <c r="E169" s="175" t="s">
        <v>66</v>
      </c>
      <c r="F169" s="8">
        <v>29</v>
      </c>
    </row>
    <row r="170" spans="1:6" s="18" customFormat="1">
      <c r="A170" s="11" t="s">
        <v>25</v>
      </c>
      <c r="B170" s="11" t="s">
        <v>7</v>
      </c>
      <c r="C170" s="119">
        <v>988100085</v>
      </c>
      <c r="D170" s="120" t="s">
        <v>765</v>
      </c>
      <c r="E170" s="175">
        <v>8992775214008</v>
      </c>
      <c r="F170" s="8">
        <v>0</v>
      </c>
    </row>
    <row r="171" spans="1:6" s="18" customFormat="1">
      <c r="A171" s="11" t="s">
        <v>25</v>
      </c>
      <c r="B171" s="11" t="s">
        <v>7</v>
      </c>
      <c r="C171" s="176">
        <v>988100063</v>
      </c>
      <c r="D171" s="177" t="s">
        <v>686</v>
      </c>
      <c r="E171" s="178">
        <v>8995077604485</v>
      </c>
      <c r="F171" s="8"/>
    </row>
    <row r="172" spans="1:6" s="18" customFormat="1">
      <c r="A172" s="11" t="s">
        <v>25</v>
      </c>
      <c r="B172" s="11" t="s">
        <v>7</v>
      </c>
      <c r="C172" s="119">
        <v>988100077</v>
      </c>
      <c r="D172" s="120" t="s">
        <v>688</v>
      </c>
      <c r="E172" s="175">
        <v>8994075230863</v>
      </c>
      <c r="F172" s="8">
        <v>0</v>
      </c>
    </row>
    <row r="173" spans="1:6" s="18" customFormat="1">
      <c r="A173" s="11" t="s">
        <v>40</v>
      </c>
      <c r="B173" s="11" t="s">
        <v>41</v>
      </c>
      <c r="C173" s="119">
        <v>988100088</v>
      </c>
      <c r="D173" s="120" t="s">
        <v>69</v>
      </c>
      <c r="E173" s="175" t="s">
        <v>70</v>
      </c>
      <c r="F173" s="8">
        <v>72</v>
      </c>
    </row>
    <row r="174" spans="1:6" s="18" customFormat="1">
      <c r="A174" s="11" t="s">
        <v>25</v>
      </c>
      <c r="B174" s="11" t="s">
        <v>7</v>
      </c>
      <c r="C174" s="119">
        <v>988100098</v>
      </c>
      <c r="D174" s="120" t="s">
        <v>766</v>
      </c>
      <c r="E174" s="175">
        <v>8968660049</v>
      </c>
      <c r="F174" s="8"/>
    </row>
    <row r="175" spans="1:6" s="18" customFormat="1">
      <c r="A175" s="11" t="s">
        <v>25</v>
      </c>
      <c r="B175" s="11" t="s">
        <v>7</v>
      </c>
      <c r="C175" s="119">
        <v>200086</v>
      </c>
      <c r="D175" s="120" t="s">
        <v>317</v>
      </c>
      <c r="E175" s="175">
        <v>8999999000189</v>
      </c>
      <c r="F175" s="8"/>
    </row>
    <row r="176" spans="1:6" s="18" customFormat="1">
      <c r="A176" s="11" t="s">
        <v>6</v>
      </c>
      <c r="B176" s="11" t="s">
        <v>7</v>
      </c>
      <c r="C176" s="119">
        <v>988100006</v>
      </c>
      <c r="D176" s="120" t="s">
        <v>681</v>
      </c>
      <c r="E176" s="175">
        <v>8995227502524</v>
      </c>
      <c r="F176" s="8">
        <v>0</v>
      </c>
    </row>
    <row r="177" spans="1:6" s="18" customFormat="1">
      <c r="A177" s="5" t="s">
        <v>25</v>
      </c>
      <c r="B177" s="5" t="s">
        <v>7</v>
      </c>
      <c r="C177" s="119">
        <v>988100129</v>
      </c>
      <c r="D177" s="120" t="s">
        <v>767</v>
      </c>
      <c r="E177" s="175">
        <v>8995077600562</v>
      </c>
      <c r="F177" s="8">
        <v>0</v>
      </c>
    </row>
    <row r="178" spans="1:6" s="18" customFormat="1">
      <c r="A178" s="11" t="s">
        <v>25</v>
      </c>
      <c r="B178" s="11" t="s">
        <v>7</v>
      </c>
      <c r="C178" s="119">
        <v>988100127</v>
      </c>
      <c r="D178" s="120" t="s">
        <v>693</v>
      </c>
      <c r="E178" s="175">
        <v>8994075230870</v>
      </c>
      <c r="F178" s="8"/>
    </row>
    <row r="179" spans="1:6" s="18" customFormat="1">
      <c r="A179" s="11" t="s">
        <v>25</v>
      </c>
      <c r="B179" s="11" t="s">
        <v>7</v>
      </c>
      <c r="C179" s="119">
        <v>200428</v>
      </c>
      <c r="D179" s="120" t="s">
        <v>642</v>
      </c>
      <c r="E179" s="175">
        <v>8992716109172</v>
      </c>
      <c r="F179" s="8"/>
    </row>
    <row r="180" spans="1:6" s="18" customFormat="1">
      <c r="A180" s="5" t="s">
        <v>40</v>
      </c>
      <c r="B180" s="5" t="s">
        <v>41</v>
      </c>
      <c r="C180" s="119">
        <v>988100139</v>
      </c>
      <c r="D180" s="120" t="s">
        <v>700</v>
      </c>
      <c r="E180" s="175">
        <v>8997005541138</v>
      </c>
      <c r="F180" s="8">
        <v>0</v>
      </c>
    </row>
    <row r="181" spans="1:6" s="18" customFormat="1">
      <c r="A181" s="5" t="s">
        <v>40</v>
      </c>
      <c r="B181" s="5" t="s">
        <v>41</v>
      </c>
      <c r="C181" s="119">
        <v>988100140</v>
      </c>
      <c r="D181" s="120" t="s">
        <v>701</v>
      </c>
      <c r="E181" s="175">
        <v>8997005540568</v>
      </c>
      <c r="F181" s="8">
        <v>0</v>
      </c>
    </row>
    <row r="182" spans="1:6" s="18" customFormat="1">
      <c r="A182" s="5" t="s">
        <v>40</v>
      </c>
      <c r="B182" s="5" t="s">
        <v>41</v>
      </c>
      <c r="C182" s="119">
        <v>988100124</v>
      </c>
      <c r="D182" s="120" t="s">
        <v>67</v>
      </c>
      <c r="E182" s="175" t="s">
        <v>68</v>
      </c>
      <c r="F182" s="8">
        <v>14</v>
      </c>
    </row>
    <row r="183" spans="1:6" s="18" customFormat="1">
      <c r="A183" s="5" t="s">
        <v>40</v>
      </c>
      <c r="B183" s="5" t="s">
        <v>41</v>
      </c>
      <c r="C183" s="119">
        <v>988100275</v>
      </c>
      <c r="D183" s="120" t="s">
        <v>768</v>
      </c>
      <c r="E183" s="175" t="s">
        <v>769</v>
      </c>
      <c r="F183" s="8">
        <v>0</v>
      </c>
    </row>
    <row r="184" spans="1:6" s="18" customFormat="1">
      <c r="A184" s="5" t="s">
        <v>124</v>
      </c>
      <c r="B184" s="5" t="s">
        <v>7</v>
      </c>
      <c r="C184" s="119">
        <v>988100425</v>
      </c>
      <c r="D184" s="120" t="s">
        <v>431</v>
      </c>
      <c r="E184" s="175">
        <v>8992959975084</v>
      </c>
      <c r="F184" s="8">
        <v>0</v>
      </c>
    </row>
    <row r="185" spans="1:6" s="18" customFormat="1">
      <c r="A185" s="5" t="s">
        <v>6</v>
      </c>
      <c r="B185" s="5" t="s">
        <v>7</v>
      </c>
      <c r="C185" s="119">
        <v>988100123</v>
      </c>
      <c r="D185" s="120" t="s">
        <v>690</v>
      </c>
      <c r="E185" s="175">
        <v>8994985000266</v>
      </c>
      <c r="F185" s="8"/>
    </row>
    <row r="186" spans="1:6" s="18" customFormat="1">
      <c r="A186" s="5" t="s">
        <v>40</v>
      </c>
      <c r="B186" s="5" t="s">
        <v>41</v>
      </c>
      <c r="C186" s="119">
        <v>988100276</v>
      </c>
      <c r="D186" s="120" t="s">
        <v>433</v>
      </c>
      <c r="E186" s="175" t="s">
        <v>770</v>
      </c>
      <c r="F186" s="8"/>
    </row>
    <row r="187" spans="1:6" s="18" customFormat="1">
      <c r="A187" s="5" t="s">
        <v>6</v>
      </c>
      <c r="B187" s="5" t="s">
        <v>7</v>
      </c>
      <c r="C187" s="119">
        <v>988100431</v>
      </c>
      <c r="D187" s="120" t="s">
        <v>432</v>
      </c>
      <c r="E187" s="175">
        <v>8992388133604</v>
      </c>
      <c r="F187" s="8">
        <v>0</v>
      </c>
    </row>
    <row r="188" spans="1:6" s="18" customFormat="1">
      <c r="A188" s="5" t="s">
        <v>124</v>
      </c>
      <c r="B188" s="5" t="s">
        <v>41</v>
      </c>
      <c r="C188" s="119">
        <v>988100436</v>
      </c>
      <c r="D188" s="120" t="s">
        <v>436</v>
      </c>
      <c r="E188" s="175">
        <v>8997233270206</v>
      </c>
      <c r="F188" s="8">
        <v>0</v>
      </c>
    </row>
    <row r="189" spans="1:6" s="18" customFormat="1">
      <c r="A189" s="5" t="s">
        <v>124</v>
      </c>
      <c r="B189" s="5" t="s">
        <v>41</v>
      </c>
      <c r="C189" s="119">
        <v>988100437</v>
      </c>
      <c r="D189" s="120" t="s">
        <v>437</v>
      </c>
      <c r="E189" s="175">
        <v>8997233270251</v>
      </c>
      <c r="F189" s="8">
        <v>1</v>
      </c>
    </row>
    <row r="190" spans="1:6" s="18" customFormat="1">
      <c r="A190" s="5" t="s">
        <v>25</v>
      </c>
      <c r="B190" s="5" t="s">
        <v>41</v>
      </c>
      <c r="C190" s="119">
        <v>988100438</v>
      </c>
      <c r="D190" s="120" t="s">
        <v>79</v>
      </c>
      <c r="E190" s="175">
        <v>44781299</v>
      </c>
      <c r="F190" s="8">
        <v>0</v>
      </c>
    </row>
    <row r="191" spans="1:6" s="18" customFormat="1">
      <c r="A191" s="5" t="s">
        <v>25</v>
      </c>
      <c r="B191" s="5" t="s">
        <v>41</v>
      </c>
      <c r="C191" s="119">
        <v>988100439</v>
      </c>
      <c r="D191" s="120" t="s">
        <v>80</v>
      </c>
      <c r="E191" s="175">
        <v>44783238</v>
      </c>
      <c r="F191" s="8">
        <v>0</v>
      </c>
    </row>
    <row r="192" spans="1:6" s="18" customFormat="1">
      <c r="A192" s="5" t="s">
        <v>25</v>
      </c>
      <c r="B192" s="5" t="s">
        <v>41</v>
      </c>
      <c r="C192" s="119">
        <v>988100440</v>
      </c>
      <c r="D192" s="120" t="s">
        <v>81</v>
      </c>
      <c r="E192" s="175">
        <v>44785238</v>
      </c>
      <c r="F192" s="8">
        <v>0</v>
      </c>
    </row>
    <row r="193" spans="1:6" s="18" customFormat="1">
      <c r="A193" s="5" t="s">
        <v>25</v>
      </c>
      <c r="B193" s="5" t="s">
        <v>41</v>
      </c>
      <c r="C193" s="119">
        <v>988100441</v>
      </c>
      <c r="D193" s="120" t="s">
        <v>82</v>
      </c>
      <c r="E193" s="175">
        <v>87440099</v>
      </c>
      <c r="F193" s="8">
        <v>0</v>
      </c>
    </row>
    <row r="194" spans="1:6" s="18" customFormat="1">
      <c r="A194" s="5" t="s">
        <v>25</v>
      </c>
      <c r="B194" s="5" t="s">
        <v>41</v>
      </c>
      <c r="C194" s="119">
        <v>988100442</v>
      </c>
      <c r="D194" s="120" t="s">
        <v>83</v>
      </c>
      <c r="E194" s="175">
        <v>44782738</v>
      </c>
      <c r="F194" s="8">
        <v>0</v>
      </c>
    </row>
    <row r="195" spans="1:6" s="18" customFormat="1">
      <c r="A195" s="5" t="s">
        <v>25</v>
      </c>
      <c r="B195" s="5" t="s">
        <v>41</v>
      </c>
      <c r="C195" s="119">
        <v>988100443</v>
      </c>
      <c r="D195" s="120" t="s">
        <v>84</v>
      </c>
      <c r="E195" s="175">
        <v>44781238</v>
      </c>
      <c r="F195" s="8"/>
    </row>
    <row r="196" spans="1:6" s="18" customFormat="1">
      <c r="A196" s="5" t="s">
        <v>124</v>
      </c>
      <c r="B196" s="5" t="s">
        <v>41</v>
      </c>
      <c r="C196" s="119">
        <v>988100446</v>
      </c>
      <c r="D196" s="120" t="s">
        <v>438</v>
      </c>
      <c r="E196" s="175">
        <v>8997233270350</v>
      </c>
      <c r="F196" s="8">
        <v>0</v>
      </c>
    </row>
    <row r="197" spans="1:6" s="18" customFormat="1">
      <c r="A197" s="5" t="s">
        <v>124</v>
      </c>
      <c r="B197" s="5" t="s">
        <v>41</v>
      </c>
      <c r="C197" s="119">
        <v>988100447</v>
      </c>
      <c r="D197" s="120" t="s">
        <v>439</v>
      </c>
      <c r="E197" s="175">
        <v>8997233270169</v>
      </c>
      <c r="F197" s="8">
        <v>0</v>
      </c>
    </row>
    <row r="198" spans="1:6" s="18" customFormat="1">
      <c r="A198" s="5" t="s">
        <v>124</v>
      </c>
      <c r="B198" s="5" t="s">
        <v>41</v>
      </c>
      <c r="C198" s="119">
        <v>988100448</v>
      </c>
      <c r="D198" s="120" t="s">
        <v>440</v>
      </c>
      <c r="E198" s="175">
        <v>8997233270268</v>
      </c>
      <c r="F198" s="8">
        <v>0</v>
      </c>
    </row>
    <row r="199" spans="1:6" s="18" customFormat="1">
      <c r="A199" s="5" t="s">
        <v>6</v>
      </c>
      <c r="B199" s="5" t="s">
        <v>7</v>
      </c>
      <c r="C199" s="119">
        <v>988100449</v>
      </c>
      <c r="D199" s="120" t="s">
        <v>171</v>
      </c>
      <c r="E199" s="175">
        <v>8996001600597</v>
      </c>
      <c r="F199" s="8">
        <v>26</v>
      </c>
    </row>
    <row r="200" spans="1:6" s="18" customFormat="1">
      <c r="A200" s="5" t="s">
        <v>25</v>
      </c>
      <c r="B200" s="5" t="s">
        <v>41</v>
      </c>
      <c r="C200" s="56">
        <v>988100453</v>
      </c>
      <c r="D200" s="65" t="s">
        <v>85</v>
      </c>
      <c r="E200" s="92">
        <v>44784210</v>
      </c>
      <c r="F200" s="8"/>
    </row>
    <row r="201" spans="1:6" s="18" customFormat="1">
      <c r="A201" s="11" t="s">
        <v>25</v>
      </c>
      <c r="B201" s="11" t="s">
        <v>7</v>
      </c>
      <c r="C201" s="107">
        <v>988100456</v>
      </c>
      <c r="D201" s="108" t="s">
        <v>26</v>
      </c>
      <c r="E201" s="179">
        <v>89686732016</v>
      </c>
      <c r="F201" s="8">
        <v>70</v>
      </c>
    </row>
    <row r="202" spans="1:6" s="18" customFormat="1">
      <c r="A202" s="11" t="s">
        <v>25</v>
      </c>
      <c r="B202" s="11" t="s">
        <v>7</v>
      </c>
      <c r="C202" s="56">
        <v>988100458</v>
      </c>
      <c r="D202" s="56" t="s">
        <v>445</v>
      </c>
      <c r="E202" s="92">
        <v>89686723014</v>
      </c>
      <c r="F202" s="8"/>
    </row>
    <row r="203" spans="1:6" s="18" customFormat="1">
      <c r="A203" s="11" t="s">
        <v>6</v>
      </c>
      <c r="B203" s="11" t="s">
        <v>7</v>
      </c>
      <c r="C203" s="7">
        <v>988100460</v>
      </c>
      <c r="D203" s="7" t="s">
        <v>14</v>
      </c>
      <c r="E203" s="20">
        <v>8992388145027</v>
      </c>
      <c r="F203" s="8">
        <v>72</v>
      </c>
    </row>
    <row r="204" spans="1:6" s="18" customFormat="1">
      <c r="A204" s="11" t="s">
        <v>40</v>
      </c>
      <c r="B204" s="11" t="s">
        <v>41</v>
      </c>
      <c r="C204" s="56">
        <v>988100450</v>
      </c>
      <c r="D204" s="65" t="s">
        <v>446</v>
      </c>
      <c r="E204" s="92" t="s">
        <v>771</v>
      </c>
      <c r="F204" s="8">
        <v>1</v>
      </c>
    </row>
    <row r="205" spans="1:6" s="18" customFormat="1">
      <c r="A205" s="11" t="s">
        <v>6</v>
      </c>
      <c r="B205" s="11" t="s">
        <v>41</v>
      </c>
      <c r="C205" s="56">
        <v>988100461</v>
      </c>
      <c r="D205" s="65" t="s">
        <v>447</v>
      </c>
      <c r="E205" s="92">
        <v>8997230640002</v>
      </c>
      <c r="F205" s="8">
        <v>0</v>
      </c>
    </row>
    <row r="206" spans="1:6" s="18" customFormat="1">
      <c r="A206" s="11" t="s">
        <v>89</v>
      </c>
      <c r="B206" s="11" t="s">
        <v>7</v>
      </c>
      <c r="C206" s="180">
        <v>988100432</v>
      </c>
      <c r="D206" s="181" t="s">
        <v>772</v>
      </c>
      <c r="E206" s="92">
        <v>8999999560454</v>
      </c>
      <c r="F206" s="8">
        <v>5</v>
      </c>
    </row>
    <row r="207" spans="1:6" s="18" customFormat="1">
      <c r="A207" s="11" t="s">
        <v>6</v>
      </c>
      <c r="B207" s="11" t="s">
        <v>7</v>
      </c>
      <c r="C207" s="56">
        <v>988100462</v>
      </c>
      <c r="D207" s="19" t="s">
        <v>448</v>
      </c>
      <c r="E207" s="20">
        <v>8997009781530</v>
      </c>
      <c r="F207" s="8">
        <v>0</v>
      </c>
    </row>
    <row r="208" spans="1:6" s="18" customFormat="1">
      <c r="A208" s="11" t="s">
        <v>6</v>
      </c>
      <c r="B208" s="11" t="s">
        <v>7</v>
      </c>
      <c r="C208" s="56">
        <v>988100463</v>
      </c>
      <c r="D208" s="65" t="s">
        <v>449</v>
      </c>
      <c r="E208" s="92">
        <v>8997009781554</v>
      </c>
      <c r="F208" s="8">
        <v>0</v>
      </c>
    </row>
    <row r="209" spans="1:6" s="18" customFormat="1">
      <c r="A209" s="11" t="s">
        <v>25</v>
      </c>
      <c r="B209" s="11" t="s">
        <v>41</v>
      </c>
      <c r="C209" s="56">
        <v>988100465</v>
      </c>
      <c r="D209" s="19" t="s">
        <v>86</v>
      </c>
      <c r="E209" s="20">
        <v>44781398</v>
      </c>
      <c r="F209" s="8">
        <v>0</v>
      </c>
    </row>
    <row r="210" spans="1:6" s="18" customFormat="1">
      <c r="A210" s="11" t="s">
        <v>25</v>
      </c>
      <c r="B210" s="11" t="s">
        <v>41</v>
      </c>
      <c r="C210" s="56">
        <v>988100466</v>
      </c>
      <c r="D210" s="19" t="s">
        <v>87</v>
      </c>
      <c r="E210" s="20">
        <v>44782487</v>
      </c>
      <c r="F210" s="8">
        <v>0</v>
      </c>
    </row>
    <row r="211" spans="1:6" s="18" customFormat="1">
      <c r="A211" s="11" t="s">
        <v>25</v>
      </c>
      <c r="B211" s="11" t="s">
        <v>41</v>
      </c>
      <c r="C211" s="56">
        <v>988100467</v>
      </c>
      <c r="D211" s="65" t="s">
        <v>88</v>
      </c>
      <c r="E211" s="92">
        <v>44781299</v>
      </c>
      <c r="F211" s="8">
        <v>0</v>
      </c>
    </row>
    <row r="212" spans="1:6" s="18" customFormat="1">
      <c r="A212" s="11" t="s">
        <v>25</v>
      </c>
      <c r="B212" s="11" t="s">
        <v>41</v>
      </c>
      <c r="C212" s="56">
        <v>988100469</v>
      </c>
      <c r="D212" s="56" t="s">
        <v>153</v>
      </c>
      <c r="E212" s="92" t="s">
        <v>154</v>
      </c>
      <c r="F212" s="8">
        <v>10</v>
      </c>
    </row>
    <row r="213" spans="1:6" s="18" customFormat="1">
      <c r="A213" s="11" t="s">
        <v>40</v>
      </c>
      <c r="B213" s="11" t="s">
        <v>41</v>
      </c>
      <c r="C213" s="7">
        <v>988100484</v>
      </c>
      <c r="D213" s="7" t="s">
        <v>55</v>
      </c>
      <c r="E213" s="20" t="s">
        <v>56</v>
      </c>
      <c r="F213" s="8">
        <v>15</v>
      </c>
    </row>
    <row r="214" spans="1:6" s="18" customFormat="1">
      <c r="A214" s="11" t="s">
        <v>25</v>
      </c>
      <c r="B214" s="11" t="s">
        <v>7</v>
      </c>
      <c r="C214" s="56">
        <v>988100535</v>
      </c>
      <c r="D214" s="30" t="s">
        <v>493</v>
      </c>
      <c r="E214" s="92">
        <v>89686723045</v>
      </c>
      <c r="F214" s="8">
        <v>0</v>
      </c>
    </row>
    <row r="215" spans="1:6" s="18" customFormat="1">
      <c r="A215" s="11" t="s">
        <v>25</v>
      </c>
      <c r="B215" s="11" t="s">
        <v>7</v>
      </c>
      <c r="C215" s="56">
        <v>200333</v>
      </c>
      <c r="D215" s="65" t="s">
        <v>335</v>
      </c>
      <c r="E215" s="92">
        <v>89686611908</v>
      </c>
      <c r="F215" s="8"/>
    </row>
    <row r="216" spans="1:6" s="18" customFormat="1">
      <c r="A216" s="11" t="s">
        <v>25</v>
      </c>
      <c r="B216" s="11" t="s">
        <v>7</v>
      </c>
      <c r="C216" s="56">
        <v>988100541</v>
      </c>
      <c r="D216" s="117" t="s">
        <v>497</v>
      </c>
      <c r="E216" s="116">
        <v>8996196000455</v>
      </c>
      <c r="F216" s="8"/>
    </row>
    <row r="217" spans="1:6" s="18" customFormat="1">
      <c r="A217" s="11" t="s">
        <v>6</v>
      </c>
      <c r="B217" s="11" t="s">
        <v>7</v>
      </c>
      <c r="C217" s="56">
        <v>988100545</v>
      </c>
      <c r="D217" s="117" t="s">
        <v>498</v>
      </c>
      <c r="E217" s="116">
        <v>8992772586023</v>
      </c>
      <c r="F217" s="8"/>
    </row>
    <row r="218" spans="1:6" s="18" customFormat="1" ht="14.5">
      <c r="A218" s="11" t="s">
        <v>6</v>
      </c>
      <c r="B218" s="11" t="s">
        <v>7</v>
      </c>
      <c r="C218" s="182">
        <v>988100547</v>
      </c>
      <c r="D218" s="117" t="s">
        <v>723</v>
      </c>
      <c r="E218" s="32">
        <v>8994985000389</v>
      </c>
      <c r="F218" s="8"/>
    </row>
    <row r="219" spans="1:6" s="18" customFormat="1">
      <c r="A219" s="11" t="s">
        <v>25</v>
      </c>
      <c r="B219" s="11" t="s">
        <v>7</v>
      </c>
      <c r="C219" s="7">
        <v>988100564</v>
      </c>
      <c r="D219" s="15" t="s">
        <v>773</v>
      </c>
      <c r="E219" s="24">
        <v>8997032680893</v>
      </c>
      <c r="F219" s="8"/>
    </row>
    <row r="220" spans="1:6" s="18" customFormat="1">
      <c r="A220" s="11" t="s">
        <v>25</v>
      </c>
      <c r="B220" s="11" t="s">
        <v>7</v>
      </c>
      <c r="C220" s="7">
        <v>988100565</v>
      </c>
      <c r="D220" s="15" t="s">
        <v>774</v>
      </c>
      <c r="E220" s="24">
        <v>8997032680886</v>
      </c>
      <c r="F220" s="8"/>
    </row>
    <row r="221" spans="1:6" s="18" customFormat="1">
      <c r="A221" s="11" t="s">
        <v>25</v>
      </c>
      <c r="B221" s="11" t="s">
        <v>7</v>
      </c>
      <c r="C221" s="56">
        <v>988100566</v>
      </c>
      <c r="D221" s="117" t="s">
        <v>28</v>
      </c>
      <c r="E221" s="32">
        <v>89686604443</v>
      </c>
      <c r="F221" s="8">
        <v>102</v>
      </c>
    </row>
    <row r="222" spans="1:6" s="18" customFormat="1">
      <c r="A222" s="11" t="s">
        <v>25</v>
      </c>
      <c r="B222" s="11" t="s">
        <v>7</v>
      </c>
      <c r="C222" s="7">
        <v>988100572</v>
      </c>
      <c r="D222" s="15" t="s">
        <v>30</v>
      </c>
      <c r="E222" s="24">
        <v>89686591286</v>
      </c>
      <c r="F222" s="8">
        <v>107</v>
      </c>
    </row>
    <row r="223" spans="1:6" s="18" customFormat="1">
      <c r="A223" s="11" t="s">
        <v>25</v>
      </c>
      <c r="B223" s="11" t="s">
        <v>7</v>
      </c>
      <c r="C223" s="7">
        <v>988100571</v>
      </c>
      <c r="D223" s="15" t="s">
        <v>31</v>
      </c>
      <c r="E223" s="24">
        <v>89686590197</v>
      </c>
      <c r="F223" s="8">
        <v>110</v>
      </c>
    </row>
    <row r="224" spans="1:6" s="18" customFormat="1">
      <c r="A224" s="11" t="s">
        <v>25</v>
      </c>
      <c r="B224" s="11" t="s">
        <v>7</v>
      </c>
      <c r="C224" s="56">
        <v>988100534</v>
      </c>
      <c r="D224" s="65" t="s">
        <v>504</v>
      </c>
      <c r="E224" s="92">
        <v>89686598889</v>
      </c>
      <c r="F224" s="8">
        <v>0</v>
      </c>
    </row>
    <row r="225" spans="1:6" s="18" customFormat="1">
      <c r="A225" s="11" t="s">
        <v>124</v>
      </c>
      <c r="B225" s="11" t="s">
        <v>41</v>
      </c>
      <c r="C225" s="7">
        <v>988100578</v>
      </c>
      <c r="D225" s="17" t="s">
        <v>125</v>
      </c>
      <c r="E225" s="20" t="s">
        <v>126</v>
      </c>
      <c r="F225" s="8">
        <v>35</v>
      </c>
    </row>
    <row r="226" spans="1:6" s="18" customFormat="1">
      <c r="A226" s="11" t="s">
        <v>124</v>
      </c>
      <c r="B226" s="11" t="s">
        <v>41</v>
      </c>
      <c r="C226" s="7">
        <v>988100579</v>
      </c>
      <c r="D226" s="17" t="s">
        <v>127</v>
      </c>
      <c r="E226" s="20" t="s">
        <v>128</v>
      </c>
      <c r="F226" s="8">
        <v>37</v>
      </c>
    </row>
    <row r="227" spans="1:6" s="18" customFormat="1">
      <c r="A227" s="11" t="s">
        <v>124</v>
      </c>
      <c r="B227" s="11" t="s">
        <v>41</v>
      </c>
      <c r="C227" s="7">
        <v>988100580</v>
      </c>
      <c r="D227" s="17" t="s">
        <v>129</v>
      </c>
      <c r="E227" s="20" t="s">
        <v>130</v>
      </c>
      <c r="F227" s="8">
        <v>1</v>
      </c>
    </row>
    <row r="228" spans="1:6" s="18" customFormat="1">
      <c r="A228" s="11" t="s">
        <v>124</v>
      </c>
      <c r="B228" s="11" t="s">
        <v>41</v>
      </c>
      <c r="C228" s="7">
        <v>988100581</v>
      </c>
      <c r="D228" s="17" t="s">
        <v>131</v>
      </c>
      <c r="E228" s="20" t="s">
        <v>132</v>
      </c>
      <c r="F228" s="8">
        <v>38</v>
      </c>
    </row>
    <row r="229" spans="1:6" s="18" customFormat="1">
      <c r="A229" s="11" t="s">
        <v>124</v>
      </c>
      <c r="B229" s="11" t="s">
        <v>41</v>
      </c>
      <c r="C229" s="7">
        <v>988100582</v>
      </c>
      <c r="D229" s="17" t="s">
        <v>133</v>
      </c>
      <c r="E229" s="28">
        <v>8997233270398</v>
      </c>
      <c r="F229" s="8">
        <v>37</v>
      </c>
    </row>
    <row r="230" spans="1:6" s="18" customFormat="1">
      <c r="A230" s="11" t="s">
        <v>124</v>
      </c>
      <c r="B230" s="11" t="s">
        <v>41</v>
      </c>
      <c r="C230" s="7">
        <v>988100583</v>
      </c>
      <c r="D230" s="17" t="s">
        <v>134</v>
      </c>
      <c r="E230" s="28">
        <v>8997233270381</v>
      </c>
      <c r="F230" s="8"/>
    </row>
    <row r="231" spans="1:6" s="18" customFormat="1">
      <c r="A231" s="11" t="s">
        <v>124</v>
      </c>
      <c r="B231" s="11" t="s">
        <v>41</v>
      </c>
      <c r="C231" s="7">
        <v>988100584</v>
      </c>
      <c r="D231" s="17" t="s">
        <v>135</v>
      </c>
      <c r="E231" s="28">
        <v>8997233270404</v>
      </c>
      <c r="F231" s="8">
        <v>30</v>
      </c>
    </row>
    <row r="232" spans="1:6">
      <c r="A232" s="11" t="s">
        <v>124</v>
      </c>
      <c r="B232" s="11" t="s">
        <v>41</v>
      </c>
      <c r="C232" s="7">
        <v>988100585</v>
      </c>
      <c r="D232" s="17" t="s">
        <v>136</v>
      </c>
      <c r="E232" s="28">
        <v>8997233270428</v>
      </c>
      <c r="F232" s="8">
        <v>28</v>
      </c>
    </row>
    <row r="233" spans="1:6">
      <c r="A233" s="11" t="s">
        <v>124</v>
      </c>
      <c r="B233" s="11" t="s">
        <v>41</v>
      </c>
      <c r="C233" s="7">
        <v>988100586</v>
      </c>
      <c r="D233" s="17" t="s">
        <v>526</v>
      </c>
      <c r="E233" s="28">
        <v>8997233270770</v>
      </c>
      <c r="F233" s="8">
        <v>0</v>
      </c>
    </row>
    <row r="234" spans="1:6">
      <c r="A234" s="11" t="s">
        <v>124</v>
      </c>
      <c r="B234" s="11" t="s">
        <v>41</v>
      </c>
      <c r="C234" s="7">
        <v>988100587</v>
      </c>
      <c r="D234" s="17" t="s">
        <v>137</v>
      </c>
      <c r="E234" s="28">
        <v>8997233270862</v>
      </c>
      <c r="F234" s="8">
        <v>0</v>
      </c>
    </row>
    <row r="235" spans="1:6">
      <c r="A235" s="11" t="s">
        <v>124</v>
      </c>
      <c r="B235" s="11" t="s">
        <v>41</v>
      </c>
      <c r="C235" s="7">
        <v>988100588</v>
      </c>
      <c r="D235" s="17" t="s">
        <v>138</v>
      </c>
      <c r="E235" s="28">
        <v>8997233270855</v>
      </c>
      <c r="F235" s="8">
        <v>0</v>
      </c>
    </row>
    <row r="236" spans="1:6">
      <c r="A236" s="11" t="s">
        <v>124</v>
      </c>
      <c r="B236" s="11" t="s">
        <v>41</v>
      </c>
      <c r="C236" s="7">
        <v>988100589</v>
      </c>
      <c r="D236" s="17" t="s">
        <v>139</v>
      </c>
      <c r="E236" s="28">
        <v>8997233270848</v>
      </c>
      <c r="F236" s="8">
        <v>0</v>
      </c>
    </row>
    <row r="237" spans="1:6">
      <c r="A237" s="11" t="s">
        <v>124</v>
      </c>
      <c r="B237" s="11" t="s">
        <v>41</v>
      </c>
      <c r="C237" s="7">
        <v>988100590</v>
      </c>
      <c r="D237" s="17" t="s">
        <v>140</v>
      </c>
      <c r="E237" s="28">
        <v>8997233270831</v>
      </c>
      <c r="F237" s="8">
        <v>0</v>
      </c>
    </row>
    <row r="238" spans="1:6">
      <c r="A238" s="11" t="s">
        <v>124</v>
      </c>
      <c r="B238" s="11" t="s">
        <v>41</v>
      </c>
      <c r="C238" s="7">
        <v>988100591</v>
      </c>
      <c r="D238" s="17" t="s">
        <v>141</v>
      </c>
      <c r="E238" s="28">
        <v>8997233270954</v>
      </c>
      <c r="F238" s="8">
        <v>0</v>
      </c>
    </row>
    <row r="239" spans="1:6">
      <c r="A239" s="11" t="s">
        <v>124</v>
      </c>
      <c r="B239" s="11" t="s">
        <v>41</v>
      </c>
      <c r="C239" s="7">
        <v>988100592</v>
      </c>
      <c r="D239" s="17" t="s">
        <v>142</v>
      </c>
      <c r="E239" s="28">
        <v>8997233270978</v>
      </c>
      <c r="F239" s="8">
        <v>0</v>
      </c>
    </row>
    <row r="240" spans="1:6">
      <c r="A240" s="11" t="s">
        <v>124</v>
      </c>
      <c r="B240" s="11" t="s">
        <v>41</v>
      </c>
      <c r="C240" s="7">
        <v>988100593</v>
      </c>
      <c r="D240" s="17" t="s">
        <v>143</v>
      </c>
      <c r="E240" s="28">
        <v>8997233270961</v>
      </c>
      <c r="F240" s="8">
        <v>0</v>
      </c>
    </row>
    <row r="241" spans="1:6">
      <c r="A241" s="11" t="s">
        <v>124</v>
      </c>
      <c r="B241" s="11" t="s">
        <v>41</v>
      </c>
      <c r="C241" s="7">
        <v>988100594</v>
      </c>
      <c r="D241" s="17" t="s">
        <v>144</v>
      </c>
      <c r="E241" s="28">
        <v>8997233270565</v>
      </c>
      <c r="F241" s="8">
        <v>0</v>
      </c>
    </row>
    <row r="242" spans="1:6">
      <c r="A242" s="11" t="s">
        <v>124</v>
      </c>
      <c r="B242" s="11" t="s">
        <v>41</v>
      </c>
      <c r="C242" s="7">
        <v>988100595</v>
      </c>
      <c r="D242" s="17" t="s">
        <v>145</v>
      </c>
      <c r="E242" s="28">
        <v>8997233270558</v>
      </c>
      <c r="F242" s="8">
        <v>0</v>
      </c>
    </row>
    <row r="243" spans="1:6">
      <c r="A243" s="11" t="s">
        <v>124</v>
      </c>
      <c r="B243" s="11" t="s">
        <v>41</v>
      </c>
      <c r="C243" s="56">
        <v>988100596</v>
      </c>
      <c r="D243" s="30" t="s">
        <v>146</v>
      </c>
      <c r="E243" s="31">
        <v>8997233270541</v>
      </c>
      <c r="F243" s="8">
        <v>0</v>
      </c>
    </row>
    <row r="244" spans="1:6">
      <c r="A244" s="11" t="s">
        <v>40</v>
      </c>
      <c r="B244" s="11" t="s">
        <v>41</v>
      </c>
      <c r="C244" s="7">
        <v>988100570</v>
      </c>
      <c r="D244" s="15" t="s">
        <v>53</v>
      </c>
      <c r="E244" s="24" t="s">
        <v>54</v>
      </c>
      <c r="F244" s="8">
        <v>29</v>
      </c>
    </row>
    <row r="245" spans="1:6">
      <c r="A245" s="11" t="s">
        <v>6</v>
      </c>
      <c r="B245" s="11" t="s">
        <v>7</v>
      </c>
      <c r="C245" s="16">
        <v>100141</v>
      </c>
      <c r="D245" s="15" t="s">
        <v>601</v>
      </c>
      <c r="E245" s="16">
        <v>8995227500377</v>
      </c>
      <c r="F245" s="8">
        <v>0</v>
      </c>
    </row>
    <row r="246" spans="1:6">
      <c r="A246" s="11" t="s">
        <v>25</v>
      </c>
      <c r="B246" s="11" t="s">
        <v>7</v>
      </c>
      <c r="C246" s="56">
        <v>988100569</v>
      </c>
      <c r="D246" s="117" t="s">
        <v>29</v>
      </c>
      <c r="E246" s="32">
        <v>89686590098</v>
      </c>
      <c r="F246" s="8">
        <v>94</v>
      </c>
    </row>
    <row r="247" spans="1:6">
      <c r="A247" s="11" t="s">
        <v>25</v>
      </c>
      <c r="B247" s="11" t="s">
        <v>41</v>
      </c>
      <c r="C247" s="7">
        <v>988100601</v>
      </c>
      <c r="D247" s="15" t="s">
        <v>71</v>
      </c>
      <c r="E247" s="24" t="s">
        <v>72</v>
      </c>
      <c r="F247" s="8">
        <v>38</v>
      </c>
    </row>
    <row r="248" spans="1:6">
      <c r="A248" s="11" t="s">
        <v>25</v>
      </c>
      <c r="B248" s="11" t="s">
        <v>41</v>
      </c>
      <c r="C248" s="56">
        <v>988100602</v>
      </c>
      <c r="D248" s="117" t="s">
        <v>73</v>
      </c>
      <c r="E248" s="32" t="s">
        <v>74</v>
      </c>
      <c r="F248" s="8">
        <v>5</v>
      </c>
    </row>
    <row r="249" spans="1:6">
      <c r="A249" s="11" t="s">
        <v>25</v>
      </c>
      <c r="B249" s="11" t="s">
        <v>7</v>
      </c>
      <c r="C249" s="56">
        <v>988100603</v>
      </c>
      <c r="D249" s="117" t="s">
        <v>529</v>
      </c>
      <c r="E249" s="32">
        <v>8997032680909</v>
      </c>
      <c r="F249" s="8">
        <v>0</v>
      </c>
    </row>
    <row r="250" spans="1:6">
      <c r="A250" s="11" t="s">
        <v>25</v>
      </c>
      <c r="B250" s="11" t="s">
        <v>41</v>
      </c>
      <c r="C250" s="7">
        <v>988100605</v>
      </c>
      <c r="D250" s="17" t="s">
        <v>75</v>
      </c>
      <c r="E250" s="24" t="s">
        <v>76</v>
      </c>
      <c r="F250" s="8">
        <v>6</v>
      </c>
    </row>
    <row r="251" spans="1:6">
      <c r="A251" s="11" t="s">
        <v>25</v>
      </c>
      <c r="B251" s="11" t="s">
        <v>41</v>
      </c>
      <c r="C251" s="56">
        <v>988100606</v>
      </c>
      <c r="D251" s="30" t="s">
        <v>77</v>
      </c>
      <c r="E251" s="32" t="s">
        <v>78</v>
      </c>
      <c r="F251" s="8">
        <v>5</v>
      </c>
    </row>
    <row r="252" spans="1:6">
      <c r="A252" s="11" t="s">
        <v>25</v>
      </c>
      <c r="B252" s="11" t="s">
        <v>7</v>
      </c>
      <c r="C252" s="32">
        <v>200003</v>
      </c>
      <c r="D252" s="118" t="s">
        <v>543</v>
      </c>
      <c r="E252" s="32">
        <v>89686598582</v>
      </c>
      <c r="F252" s="8">
        <v>0</v>
      </c>
    </row>
    <row r="253" spans="1:6">
      <c r="A253" s="11" t="s">
        <v>25</v>
      </c>
      <c r="B253" s="11" t="s">
        <v>7</v>
      </c>
      <c r="C253" s="24">
        <v>200119</v>
      </c>
      <c r="D253" s="40" t="s">
        <v>516</v>
      </c>
      <c r="E253" s="155">
        <v>8997032680329</v>
      </c>
      <c r="F253" s="8"/>
    </row>
    <row r="254" spans="1:6">
      <c r="A254" s="11" t="s">
        <v>25</v>
      </c>
      <c r="B254" s="11" t="s">
        <v>7</v>
      </c>
      <c r="C254" s="32">
        <v>200201</v>
      </c>
      <c r="D254" s="118" t="s">
        <v>775</v>
      </c>
      <c r="E254" s="183">
        <v>8999999002497</v>
      </c>
      <c r="F254" s="8">
        <v>0</v>
      </c>
    </row>
    <row r="255" spans="1:6">
      <c r="A255" s="11" t="s">
        <v>25</v>
      </c>
      <c r="B255" s="11" t="s">
        <v>7</v>
      </c>
      <c r="C255" s="56">
        <v>988100613</v>
      </c>
      <c r="D255" s="30" t="s">
        <v>32</v>
      </c>
      <c r="E255" s="32">
        <v>89686723069</v>
      </c>
      <c r="F255" s="8"/>
    </row>
    <row r="256" spans="1:6">
      <c r="A256" s="11" t="s">
        <v>25</v>
      </c>
      <c r="B256" s="11" t="s">
        <v>7</v>
      </c>
      <c r="C256" s="56">
        <v>988100628</v>
      </c>
      <c r="D256" s="30" t="s">
        <v>776</v>
      </c>
      <c r="E256" s="32">
        <v>8995227502814</v>
      </c>
      <c r="F256" s="8"/>
    </row>
    <row r="257" spans="1:6">
      <c r="A257" s="11" t="s">
        <v>124</v>
      </c>
      <c r="B257" s="11" t="s">
        <v>41</v>
      </c>
      <c r="C257" s="7">
        <v>988100634</v>
      </c>
      <c r="D257" s="17" t="s">
        <v>147</v>
      </c>
      <c r="E257" s="24">
        <v>8997233270923</v>
      </c>
      <c r="F257" s="8">
        <v>21</v>
      </c>
    </row>
    <row r="258" spans="1:6">
      <c r="A258" s="11" t="s">
        <v>124</v>
      </c>
      <c r="B258" s="11" t="s">
        <v>41</v>
      </c>
      <c r="C258" s="7">
        <v>988100635</v>
      </c>
      <c r="D258" s="17" t="s">
        <v>148</v>
      </c>
      <c r="E258" s="24">
        <v>8997233270916</v>
      </c>
      <c r="F258" s="8">
        <v>24</v>
      </c>
    </row>
    <row r="259" spans="1:6">
      <c r="A259" s="11" t="s">
        <v>124</v>
      </c>
      <c r="B259" s="11" t="s">
        <v>41</v>
      </c>
      <c r="C259" s="56">
        <v>988100636</v>
      </c>
      <c r="D259" s="30" t="s">
        <v>149</v>
      </c>
      <c r="E259" s="32">
        <v>8997233270909</v>
      </c>
      <c r="F259" s="8">
        <v>24</v>
      </c>
    </row>
    <row r="260" spans="1:6">
      <c r="A260" s="11" t="s">
        <v>6</v>
      </c>
      <c r="B260" s="11" t="s">
        <v>7</v>
      </c>
      <c r="C260" s="56">
        <v>988100629</v>
      </c>
      <c r="D260" s="56" t="s">
        <v>20</v>
      </c>
      <c r="E260" s="31">
        <v>8992388145324</v>
      </c>
      <c r="F260" s="8">
        <v>100</v>
      </c>
    </row>
    <row r="261" spans="1:6">
      <c r="A261" s="11" t="s">
        <v>6</v>
      </c>
      <c r="B261" s="11" t="s">
        <v>7</v>
      </c>
      <c r="C261" s="56">
        <v>988100630</v>
      </c>
      <c r="D261" s="56" t="s">
        <v>211</v>
      </c>
      <c r="E261" s="31">
        <v>8996001600849</v>
      </c>
      <c r="F261" s="8">
        <v>95</v>
      </c>
    </row>
    <row r="262" spans="1:6">
      <c r="A262" s="11" t="s">
        <v>25</v>
      </c>
      <c r="B262" s="11" t="s">
        <v>7</v>
      </c>
      <c r="C262" s="7">
        <v>988100610</v>
      </c>
      <c r="D262" s="7" t="s">
        <v>777</v>
      </c>
      <c r="E262" s="28">
        <v>89686723083</v>
      </c>
      <c r="F262" s="8">
        <v>76</v>
      </c>
    </row>
    <row r="263" spans="1:6">
      <c r="A263" s="11" t="s">
        <v>25</v>
      </c>
      <c r="B263" s="11" t="s">
        <v>7</v>
      </c>
      <c r="C263" s="24">
        <v>200227</v>
      </c>
      <c r="D263" s="40" t="s">
        <v>778</v>
      </c>
      <c r="E263" s="24">
        <v>8999999000172</v>
      </c>
      <c r="F263" s="8"/>
    </row>
    <row r="264" spans="1:6">
      <c r="A264" s="11" t="s">
        <v>25</v>
      </c>
      <c r="B264" s="11" t="s">
        <v>7</v>
      </c>
      <c r="C264" s="56">
        <v>988100637</v>
      </c>
      <c r="D264" s="56" t="s">
        <v>547</v>
      </c>
      <c r="E264" s="184" t="s">
        <v>779</v>
      </c>
      <c r="F264" s="8">
        <v>0</v>
      </c>
    </row>
    <row r="265" spans="1:6">
      <c r="A265" s="11" t="s">
        <v>25</v>
      </c>
      <c r="B265" s="11" t="s">
        <v>7</v>
      </c>
      <c r="C265" s="7">
        <v>988100574</v>
      </c>
      <c r="D265" s="7" t="s">
        <v>532</v>
      </c>
      <c r="E265" s="185" t="s">
        <v>780</v>
      </c>
      <c r="F265" s="8">
        <v>0</v>
      </c>
    </row>
    <row r="266" spans="1:6">
      <c r="A266" s="11" t="s">
        <v>25</v>
      </c>
      <c r="B266" s="11" t="s">
        <v>7</v>
      </c>
      <c r="C266" s="7">
        <v>988100617</v>
      </c>
      <c r="D266" s="7" t="s">
        <v>781</v>
      </c>
      <c r="E266" s="185" t="s">
        <v>782</v>
      </c>
      <c r="F266" s="8">
        <v>0</v>
      </c>
    </row>
    <row r="267" spans="1:6">
      <c r="A267" s="11" t="s">
        <v>25</v>
      </c>
      <c r="B267" s="11" t="s">
        <v>7</v>
      </c>
      <c r="C267" s="7">
        <v>988100614</v>
      </c>
      <c r="D267" s="7" t="s">
        <v>783</v>
      </c>
      <c r="E267" s="185">
        <v>8886013223207</v>
      </c>
      <c r="F267" s="8">
        <v>0</v>
      </c>
    </row>
    <row r="268" spans="1:6">
      <c r="A268" s="11" t="s">
        <v>6</v>
      </c>
      <c r="B268" s="11" t="s">
        <v>7</v>
      </c>
      <c r="C268" s="7">
        <v>100011</v>
      </c>
      <c r="D268" s="7" t="s">
        <v>594</v>
      </c>
      <c r="E268" s="28">
        <v>8996006855145</v>
      </c>
      <c r="F268" s="8">
        <v>14</v>
      </c>
    </row>
    <row r="269" spans="1:6">
      <c r="A269" s="11" t="s">
        <v>6</v>
      </c>
      <c r="B269" s="11" t="s">
        <v>7</v>
      </c>
      <c r="C269" s="7">
        <v>100016</v>
      </c>
      <c r="D269" s="7" t="s">
        <v>8</v>
      </c>
      <c r="E269" s="28">
        <v>8996006852045</v>
      </c>
      <c r="F269" s="8">
        <v>222</v>
      </c>
    </row>
    <row r="270" spans="1:6">
      <c r="A270" s="11" t="s">
        <v>6</v>
      </c>
      <c r="B270" s="11" t="s">
        <v>7</v>
      </c>
      <c r="C270" s="7">
        <v>100050</v>
      </c>
      <c r="D270" s="7" t="s">
        <v>15</v>
      </c>
      <c r="E270" s="20">
        <v>8996006853387</v>
      </c>
      <c r="F270" s="8">
        <v>26</v>
      </c>
    </row>
    <row r="271" spans="1:6">
      <c r="A271" s="11" t="s">
        <v>6</v>
      </c>
      <c r="B271" s="11" t="s">
        <v>7</v>
      </c>
      <c r="C271" s="7">
        <v>100052</v>
      </c>
      <c r="D271" s="7" t="s">
        <v>16</v>
      </c>
      <c r="E271" s="20">
        <v>8996006853394</v>
      </c>
      <c r="F271" s="8"/>
    </row>
    <row r="272" spans="1:6">
      <c r="A272" s="11" t="s">
        <v>6</v>
      </c>
      <c r="B272" s="11" t="s">
        <v>7</v>
      </c>
      <c r="C272" s="7">
        <v>100048</v>
      </c>
      <c r="D272" s="19" t="s">
        <v>19</v>
      </c>
      <c r="E272" s="20">
        <v>8996006853400</v>
      </c>
      <c r="F272" s="8"/>
    </row>
    <row r="273" spans="1:6">
      <c r="A273" s="11" t="s">
        <v>25</v>
      </c>
      <c r="B273" s="11" t="s">
        <v>7</v>
      </c>
      <c r="C273" s="7">
        <v>988100650</v>
      </c>
      <c r="D273" s="15" t="s">
        <v>784</v>
      </c>
      <c r="E273" s="24">
        <v>8997233930575</v>
      </c>
      <c r="F273" s="8">
        <v>0</v>
      </c>
    </row>
    <row r="274" spans="1:6">
      <c r="A274" s="11" t="s">
        <v>40</v>
      </c>
      <c r="B274" s="11" t="s">
        <v>41</v>
      </c>
      <c r="C274" s="7">
        <v>988100661</v>
      </c>
      <c r="D274" s="15" t="s">
        <v>57</v>
      </c>
      <c r="E274" s="24" t="s">
        <v>58</v>
      </c>
      <c r="F274" s="8">
        <v>29</v>
      </c>
    </row>
    <row r="275" spans="1:6">
      <c r="A275" s="11" t="s">
        <v>40</v>
      </c>
      <c r="B275" s="11" t="s">
        <v>41</v>
      </c>
      <c r="C275" s="7">
        <v>988100662</v>
      </c>
      <c r="D275" s="15" t="s">
        <v>59</v>
      </c>
      <c r="E275" s="24" t="s">
        <v>60</v>
      </c>
      <c r="F275" s="8">
        <v>1</v>
      </c>
    </row>
    <row r="276" spans="1:6">
      <c r="A276" s="11" t="s">
        <v>25</v>
      </c>
      <c r="B276" s="11" t="s">
        <v>7</v>
      </c>
      <c r="C276" s="7">
        <v>988100663</v>
      </c>
      <c r="D276" s="15" t="s">
        <v>121</v>
      </c>
      <c r="E276" s="23" t="s">
        <v>122</v>
      </c>
      <c r="F276" s="8"/>
    </row>
    <row r="277" spans="1:6">
      <c r="A277" s="11" t="s">
        <v>25</v>
      </c>
      <c r="B277" s="11" t="s">
        <v>7</v>
      </c>
      <c r="C277" s="17">
        <v>988100597</v>
      </c>
      <c r="D277" s="17" t="s">
        <v>219</v>
      </c>
      <c r="E277" s="67" t="s">
        <v>220</v>
      </c>
      <c r="F277" s="8">
        <v>75</v>
      </c>
    </row>
    <row r="278" spans="1:6">
      <c r="A278" s="33" t="s">
        <v>124</v>
      </c>
      <c r="B278" s="33" t="s">
        <v>41</v>
      </c>
      <c r="C278" s="121">
        <v>988100664</v>
      </c>
      <c r="D278" s="122" t="s">
        <v>150</v>
      </c>
      <c r="E278" s="36">
        <v>8997233271043</v>
      </c>
      <c r="F278" s="8">
        <v>0</v>
      </c>
    </row>
    <row r="279" spans="1:6">
      <c r="A279" s="33" t="s">
        <v>124</v>
      </c>
      <c r="B279" s="33" t="s">
        <v>41</v>
      </c>
      <c r="C279" s="79">
        <v>988100665</v>
      </c>
      <c r="D279" s="122" t="s">
        <v>151</v>
      </c>
      <c r="E279" s="38">
        <v>8997233271029</v>
      </c>
      <c r="F279" s="8">
        <v>0</v>
      </c>
    </row>
    <row r="280" spans="1:6">
      <c r="A280" s="33" t="s">
        <v>124</v>
      </c>
      <c r="B280" s="33" t="s">
        <v>41</v>
      </c>
      <c r="C280" s="79">
        <v>988100666</v>
      </c>
      <c r="D280" s="122" t="s">
        <v>152</v>
      </c>
      <c r="E280" s="38">
        <v>8997233271036</v>
      </c>
      <c r="F280" s="8">
        <v>0</v>
      </c>
    </row>
    <row r="281" spans="1:6">
      <c r="A281" s="11" t="s">
        <v>25</v>
      </c>
      <c r="B281" s="11" t="s">
        <v>7</v>
      </c>
      <c r="C281" s="7">
        <v>988100611</v>
      </c>
      <c r="D281" s="17" t="s">
        <v>123</v>
      </c>
      <c r="E281" s="24">
        <v>89686729009</v>
      </c>
      <c r="F281" s="8">
        <v>103</v>
      </c>
    </row>
    <row r="282" spans="1:6">
      <c r="A282" s="11" t="s">
        <v>40</v>
      </c>
      <c r="B282" s="11" t="s">
        <v>41</v>
      </c>
      <c r="C282" s="7">
        <v>988100668</v>
      </c>
      <c r="D282" s="102" t="s">
        <v>155</v>
      </c>
      <c r="E282" s="24" t="s">
        <v>156</v>
      </c>
      <c r="F282" s="8">
        <v>29</v>
      </c>
    </row>
    <row r="283" spans="1:6" ht="14.5">
      <c r="A283" s="11" t="s">
        <v>89</v>
      </c>
      <c r="B283" s="11" t="s">
        <v>7</v>
      </c>
      <c r="C283" s="186">
        <v>300008</v>
      </c>
      <c r="D283" s="187" t="s">
        <v>785</v>
      </c>
      <c r="E283" s="186">
        <v>8999999282196</v>
      </c>
      <c r="F283" s="8">
        <v>16</v>
      </c>
    </row>
    <row r="284" spans="1:6" ht="14.5">
      <c r="A284" s="11" t="s">
        <v>89</v>
      </c>
      <c r="B284" s="11" t="s">
        <v>7</v>
      </c>
      <c r="C284" s="186">
        <v>300007</v>
      </c>
      <c r="D284" s="187" t="s">
        <v>786</v>
      </c>
      <c r="E284" s="186">
        <v>8999999282202</v>
      </c>
      <c r="F284" s="8">
        <v>34</v>
      </c>
    </row>
    <row r="285" spans="1:6" ht="14.5">
      <c r="A285" s="11" t="s">
        <v>6</v>
      </c>
      <c r="B285" s="11" t="s">
        <v>7</v>
      </c>
      <c r="C285" s="7">
        <v>988100673</v>
      </c>
      <c r="D285" s="170" t="s">
        <v>213</v>
      </c>
      <c r="E285" s="188">
        <v>8991749000005</v>
      </c>
      <c r="F285" s="8">
        <v>0</v>
      </c>
    </row>
    <row r="286" spans="1:6" ht="14.5">
      <c r="A286" s="11" t="s">
        <v>6</v>
      </c>
      <c r="B286" s="11" t="s">
        <v>7</v>
      </c>
      <c r="C286" s="7">
        <v>988100674</v>
      </c>
      <c r="D286" s="170" t="s">
        <v>214</v>
      </c>
      <c r="E286" s="188">
        <v>8991749000043</v>
      </c>
      <c r="F286" s="8">
        <v>38</v>
      </c>
    </row>
    <row r="287" spans="1:6" ht="14.5">
      <c r="A287" s="11" t="s">
        <v>6</v>
      </c>
      <c r="B287" s="11" t="s">
        <v>7</v>
      </c>
      <c r="C287" s="7">
        <v>988100675</v>
      </c>
      <c r="D287" s="170" t="s">
        <v>215</v>
      </c>
      <c r="E287" s="188">
        <v>8991749000012</v>
      </c>
      <c r="F287" s="8">
        <v>36</v>
      </c>
    </row>
    <row r="288" spans="1:6" ht="14.5">
      <c r="A288" s="11" t="s">
        <v>6</v>
      </c>
      <c r="B288" s="11" t="s">
        <v>7</v>
      </c>
      <c r="C288" s="7">
        <v>988100676</v>
      </c>
      <c r="D288" s="170" t="s">
        <v>216</v>
      </c>
      <c r="E288" s="188">
        <v>8991749000036</v>
      </c>
      <c r="F288" s="8">
        <v>35</v>
      </c>
    </row>
    <row r="289" spans="1:6" ht="14.5">
      <c r="A289" s="11" t="s">
        <v>25</v>
      </c>
      <c r="B289" s="11" t="s">
        <v>41</v>
      </c>
      <c r="C289" s="7">
        <v>988100677</v>
      </c>
      <c r="D289" t="s">
        <v>169</v>
      </c>
      <c r="E289" s="189">
        <v>44788233</v>
      </c>
      <c r="F289" s="8">
        <v>0</v>
      </c>
    </row>
    <row r="290" spans="1:6" ht="14.5">
      <c r="A290" s="11" t="s">
        <v>25</v>
      </c>
      <c r="B290" s="11" t="s">
        <v>41</v>
      </c>
      <c r="C290" s="7">
        <v>988100678</v>
      </c>
      <c r="D290" t="s">
        <v>170</v>
      </c>
      <c r="E290" s="189">
        <v>44758233</v>
      </c>
      <c r="F290" s="8">
        <v>0</v>
      </c>
    </row>
    <row r="291" spans="1:6">
      <c r="A291" s="11" t="s">
        <v>6</v>
      </c>
      <c r="B291" s="11" t="s">
        <v>7</v>
      </c>
      <c r="C291" s="56">
        <v>988100489</v>
      </c>
      <c r="D291" s="65" t="s">
        <v>212</v>
      </c>
      <c r="E291" s="20">
        <v>8996001600665</v>
      </c>
      <c r="F291" s="8">
        <v>19</v>
      </c>
    </row>
    <row r="292" spans="1:6">
      <c r="A292" s="11" t="s">
        <v>6</v>
      </c>
      <c r="B292" s="11" t="s">
        <v>7</v>
      </c>
      <c r="C292" s="7">
        <v>988100672</v>
      </c>
      <c r="D292" s="102" t="s">
        <v>164</v>
      </c>
      <c r="E292" s="38">
        <v>8996001600856</v>
      </c>
      <c r="F292" s="8">
        <v>0</v>
      </c>
    </row>
    <row r="293" spans="1:6">
      <c r="A293" s="11" t="s">
        <v>6</v>
      </c>
      <c r="B293" s="11" t="s">
        <v>41</v>
      </c>
      <c r="C293" s="7">
        <v>988100680</v>
      </c>
      <c r="D293" s="102" t="s">
        <v>172</v>
      </c>
      <c r="E293" s="24">
        <v>8997231600371</v>
      </c>
      <c r="F293" s="8">
        <v>0</v>
      </c>
    </row>
    <row r="294" spans="1:6" ht="14.5">
      <c r="A294" s="11" t="s">
        <v>6</v>
      </c>
      <c r="B294" s="11" t="s">
        <v>41</v>
      </c>
      <c r="C294" s="156">
        <v>988100686</v>
      </c>
      <c r="D294" t="s">
        <v>173</v>
      </c>
      <c r="E294" s="190" t="s">
        <v>174</v>
      </c>
      <c r="F294" s="8">
        <v>0</v>
      </c>
    </row>
    <row r="295" spans="1:6" ht="14.5">
      <c r="A295" s="11" t="s">
        <v>40</v>
      </c>
      <c r="B295" s="11" t="s">
        <v>41</v>
      </c>
      <c r="C295" s="156">
        <v>988100682</v>
      </c>
      <c r="D295" s="100" t="s">
        <v>221</v>
      </c>
      <c r="E295" s="191" t="s">
        <v>222</v>
      </c>
      <c r="F295" s="8"/>
    </row>
    <row r="296" spans="1:6" ht="14.5">
      <c r="A296" s="11" t="s">
        <v>40</v>
      </c>
      <c r="B296" s="11" t="s">
        <v>41</v>
      </c>
      <c r="C296" s="156">
        <v>988100683</v>
      </c>
      <c r="D296" s="100" t="s">
        <v>223</v>
      </c>
      <c r="E296" s="191" t="s">
        <v>224</v>
      </c>
      <c r="F296" s="8">
        <v>9</v>
      </c>
    </row>
    <row r="297" spans="1:6" ht="14.5">
      <c r="A297" s="11" t="s">
        <v>40</v>
      </c>
      <c r="B297" s="11" t="s">
        <v>41</v>
      </c>
      <c r="C297" s="156">
        <v>988100684</v>
      </c>
      <c r="D297" s="170" t="s">
        <v>225</v>
      </c>
      <c r="E297" s="191" t="s">
        <v>226</v>
      </c>
      <c r="F297" s="8">
        <v>24</v>
      </c>
    </row>
    <row r="298" spans="1:6" ht="14.5">
      <c r="A298" s="11" t="s">
        <v>40</v>
      </c>
      <c r="B298" s="11" t="s">
        <v>41</v>
      </c>
      <c r="C298" s="156">
        <v>988100685</v>
      </c>
      <c r="D298" s="170" t="s">
        <v>227</v>
      </c>
      <c r="E298" s="191" t="s">
        <v>228</v>
      </c>
      <c r="F298" s="8">
        <v>23</v>
      </c>
    </row>
    <row r="299" spans="1:6">
      <c r="A299" s="11" t="s">
        <v>25</v>
      </c>
      <c r="B299" s="5" t="s">
        <v>7</v>
      </c>
      <c r="C299" s="156">
        <v>988100688</v>
      </c>
      <c r="D299" s="102" t="s">
        <v>177</v>
      </c>
      <c r="E299" s="23">
        <v>8994075240725</v>
      </c>
      <c r="F299" s="8">
        <v>23</v>
      </c>
    </row>
    <row r="300" spans="1:6">
      <c r="A300" s="11" t="s">
        <v>25</v>
      </c>
      <c r="B300" s="5" t="s">
        <v>7</v>
      </c>
      <c r="C300" s="156">
        <v>988100689</v>
      </c>
      <c r="D300" s="102" t="s">
        <v>178</v>
      </c>
      <c r="E300" s="23">
        <v>8994075240657</v>
      </c>
      <c r="F300" s="8">
        <v>0</v>
      </c>
    </row>
    <row r="301" spans="1:6">
      <c r="A301" s="11" t="s">
        <v>25</v>
      </c>
      <c r="B301" s="5" t="s">
        <v>7</v>
      </c>
      <c r="C301" s="156">
        <v>988100690</v>
      </c>
      <c r="D301" s="102" t="s">
        <v>179</v>
      </c>
      <c r="E301" s="23">
        <v>8994075240732</v>
      </c>
      <c r="F301" s="8">
        <v>0</v>
      </c>
    </row>
    <row r="302" spans="1:6">
      <c r="A302" s="11" t="s">
        <v>25</v>
      </c>
      <c r="B302" s="5" t="s">
        <v>7</v>
      </c>
      <c r="C302" s="156">
        <v>988100691</v>
      </c>
      <c r="D302" s="9" t="s">
        <v>180</v>
      </c>
      <c r="E302" s="23">
        <v>8994075240749</v>
      </c>
      <c r="F302" s="8">
        <v>6</v>
      </c>
    </row>
    <row r="303" spans="1:6" ht="14.5">
      <c r="A303" s="11" t="s">
        <v>25</v>
      </c>
      <c r="B303" s="5" t="s">
        <v>41</v>
      </c>
      <c r="C303" s="123">
        <v>988100694</v>
      </c>
      <c r="D303" s="192" t="s">
        <v>195</v>
      </c>
      <c r="E303" s="193" t="s">
        <v>196</v>
      </c>
      <c r="F303" s="8">
        <v>16</v>
      </c>
    </row>
    <row r="304" spans="1:6" ht="14.5">
      <c r="A304" s="11" t="s">
        <v>25</v>
      </c>
      <c r="B304" s="5" t="s">
        <v>41</v>
      </c>
      <c r="C304" s="123">
        <v>988100695</v>
      </c>
      <c r="D304" s="192" t="s">
        <v>197</v>
      </c>
      <c r="E304" s="193" t="s">
        <v>198</v>
      </c>
      <c r="F304" s="8"/>
    </row>
    <row r="305" spans="1:6" ht="14.5">
      <c r="A305" s="11" t="s">
        <v>25</v>
      </c>
      <c r="B305" s="5" t="s">
        <v>41</v>
      </c>
      <c r="C305" s="123">
        <v>988100696</v>
      </c>
      <c r="D305" s="192" t="s">
        <v>199</v>
      </c>
      <c r="E305" s="193" t="s">
        <v>200</v>
      </c>
      <c r="F305" s="8">
        <v>6</v>
      </c>
    </row>
    <row r="306" spans="1:6" ht="14.5">
      <c r="A306" s="11" t="s">
        <v>25</v>
      </c>
      <c r="B306" s="5" t="s">
        <v>41</v>
      </c>
      <c r="C306" s="123">
        <v>988100697</v>
      </c>
      <c r="D306" s="192" t="s">
        <v>201</v>
      </c>
      <c r="E306" s="193" t="s">
        <v>202</v>
      </c>
      <c r="F306" s="8">
        <v>0</v>
      </c>
    </row>
    <row r="307" spans="1:6" ht="14.5">
      <c r="A307" s="11" t="s">
        <v>25</v>
      </c>
      <c r="B307" s="5" t="s">
        <v>41</v>
      </c>
      <c r="C307" s="123">
        <v>988100698</v>
      </c>
      <c r="D307" s="192" t="s">
        <v>203</v>
      </c>
      <c r="E307" s="193" t="s">
        <v>204</v>
      </c>
      <c r="F307" s="8">
        <v>8</v>
      </c>
    </row>
    <row r="308" spans="1:6" ht="14.5">
      <c r="A308" s="11" t="s">
        <v>25</v>
      </c>
      <c r="B308" s="5" t="s">
        <v>41</v>
      </c>
      <c r="C308" s="123">
        <v>988100699</v>
      </c>
      <c r="D308" s="192" t="s">
        <v>205</v>
      </c>
      <c r="E308" s="193" t="s">
        <v>206</v>
      </c>
      <c r="F308" s="8">
        <v>4</v>
      </c>
    </row>
    <row r="309" spans="1:6" ht="14.5">
      <c r="A309" s="11" t="s">
        <v>25</v>
      </c>
      <c r="B309" s="5" t="s">
        <v>41</v>
      </c>
      <c r="C309" s="125">
        <v>988100700</v>
      </c>
      <c r="D309" s="194" t="s">
        <v>207</v>
      </c>
      <c r="E309" s="195" t="s">
        <v>208</v>
      </c>
      <c r="F309" s="8">
        <v>8</v>
      </c>
    </row>
    <row r="310" spans="1:6">
      <c r="A310" s="11" t="s">
        <v>25</v>
      </c>
      <c r="B310" s="5" t="s">
        <v>7</v>
      </c>
      <c r="C310" s="9">
        <v>200371</v>
      </c>
      <c r="D310" s="102" t="s">
        <v>187</v>
      </c>
      <c r="E310" s="196">
        <v>8996001355756</v>
      </c>
      <c r="F310" s="8"/>
    </row>
    <row r="311" spans="1:6">
      <c r="A311" s="11" t="s">
        <v>25</v>
      </c>
      <c r="B311" s="5" t="s">
        <v>7</v>
      </c>
      <c r="C311" s="70">
        <v>988100486</v>
      </c>
      <c r="D311" s="7" t="s">
        <v>188</v>
      </c>
      <c r="E311" s="20">
        <v>8996001355046</v>
      </c>
      <c r="F311" s="8">
        <v>48</v>
      </c>
    </row>
    <row r="312" spans="1:6">
      <c r="A312" s="11" t="s">
        <v>25</v>
      </c>
      <c r="B312" s="5" t="s">
        <v>7</v>
      </c>
      <c r="C312" s="56">
        <v>988100452</v>
      </c>
      <c r="D312" s="56" t="s">
        <v>189</v>
      </c>
      <c r="E312" s="20">
        <v>8886001026056</v>
      </c>
      <c r="F312" s="8">
        <v>0</v>
      </c>
    </row>
    <row r="313" spans="1:6">
      <c r="A313" s="11" t="s">
        <v>25</v>
      </c>
      <c r="B313" s="5" t="s">
        <v>7</v>
      </c>
      <c r="C313" s="7">
        <v>988100669</v>
      </c>
      <c r="D313" s="102" t="s">
        <v>190</v>
      </c>
      <c r="E313" s="24">
        <v>8996001343135</v>
      </c>
      <c r="F313" s="8">
        <v>0</v>
      </c>
    </row>
    <row r="314" spans="1:6">
      <c r="A314" s="11" t="s">
        <v>25</v>
      </c>
      <c r="B314" s="5" t="s">
        <v>41</v>
      </c>
      <c r="C314" s="7">
        <v>988100660</v>
      </c>
      <c r="D314" s="40" t="s">
        <v>175</v>
      </c>
      <c r="E314" s="24" t="s">
        <v>176</v>
      </c>
      <c r="F314" s="8">
        <v>19</v>
      </c>
    </row>
    <row r="315" spans="1:6">
      <c r="A315" s="11" t="s">
        <v>6</v>
      </c>
      <c r="B315" s="11" t="s">
        <v>7</v>
      </c>
      <c r="C315" s="7">
        <v>988100681</v>
      </c>
      <c r="D315" s="102" t="s">
        <v>217</v>
      </c>
      <c r="E315" s="24">
        <v>8991749000029</v>
      </c>
      <c r="F315" s="8">
        <v>39</v>
      </c>
    </row>
    <row r="316" spans="1:6">
      <c r="A316" s="11" t="s">
        <v>25</v>
      </c>
      <c r="B316" s="11" t="s">
        <v>7</v>
      </c>
      <c r="C316" s="197">
        <v>988100707</v>
      </c>
      <c r="D316" s="198" t="s">
        <v>233</v>
      </c>
      <c r="E316" s="199">
        <v>8994755031193</v>
      </c>
      <c r="F316" s="8">
        <v>6</v>
      </c>
    </row>
    <row r="317" spans="1:6">
      <c r="A317" s="5" t="s">
        <v>25</v>
      </c>
      <c r="B317" s="5" t="s">
        <v>41</v>
      </c>
      <c r="C317" s="156">
        <v>988100708</v>
      </c>
      <c r="D317" s="102" t="s">
        <v>235</v>
      </c>
      <c r="E317" s="23">
        <v>3649993997444</v>
      </c>
      <c r="F317" s="8"/>
    </row>
    <row r="318" spans="1:6">
      <c r="A318" s="5" t="s">
        <v>40</v>
      </c>
      <c r="B318" s="5" t="s">
        <v>41</v>
      </c>
      <c r="C318" s="156">
        <v>988100709</v>
      </c>
      <c r="D318" s="102" t="s">
        <v>236</v>
      </c>
      <c r="E318" s="23" t="s">
        <v>237</v>
      </c>
      <c r="F318" s="8">
        <v>26</v>
      </c>
    </row>
    <row r="319" spans="1:6">
      <c r="A319" s="5" t="s">
        <v>25</v>
      </c>
      <c r="B319" s="5" t="s">
        <v>7</v>
      </c>
      <c r="C319" s="156">
        <v>988100716</v>
      </c>
      <c r="D319" s="102" t="s">
        <v>244</v>
      </c>
      <c r="E319" s="23">
        <v>9555030107614</v>
      </c>
      <c r="F319" s="8">
        <v>0</v>
      </c>
    </row>
    <row r="320" spans="1:6">
      <c r="A320" s="5" t="s">
        <v>25</v>
      </c>
      <c r="B320" s="5" t="s">
        <v>7</v>
      </c>
      <c r="C320" s="156">
        <v>988100717</v>
      </c>
      <c r="D320" s="79" t="s">
        <v>562</v>
      </c>
      <c r="E320" s="200" t="s">
        <v>787</v>
      </c>
      <c r="F320" s="8">
        <v>0</v>
      </c>
    </row>
    <row r="321" spans="1:6">
      <c r="A321" s="5" t="s">
        <v>25</v>
      </c>
      <c r="B321" s="5" t="s">
        <v>7</v>
      </c>
      <c r="C321" s="156">
        <v>988100718</v>
      </c>
      <c r="D321" s="79" t="s">
        <v>563</v>
      </c>
      <c r="E321" s="200" t="s">
        <v>788</v>
      </c>
      <c r="F321" s="8">
        <v>0</v>
      </c>
    </row>
    <row r="322" spans="1:6">
      <c r="A322" s="5" t="s">
        <v>25</v>
      </c>
      <c r="B322" s="5" t="s">
        <v>7</v>
      </c>
      <c r="C322" s="156">
        <v>988100719</v>
      </c>
      <c r="D322" s="79" t="s">
        <v>564</v>
      </c>
      <c r="E322" s="23">
        <v>8993004788857</v>
      </c>
      <c r="F322" s="8">
        <v>0</v>
      </c>
    </row>
    <row r="323" spans="1:6">
      <c r="A323" s="5" t="s">
        <v>25</v>
      </c>
      <c r="B323" s="5" t="s">
        <v>7</v>
      </c>
      <c r="C323" s="156">
        <v>988100720</v>
      </c>
      <c r="D323" s="79" t="s">
        <v>565</v>
      </c>
      <c r="E323" s="201">
        <v>8995077601057</v>
      </c>
      <c r="F323" s="8">
        <v>5</v>
      </c>
    </row>
    <row r="324" spans="1:6">
      <c r="A324" s="5" t="s">
        <v>25</v>
      </c>
      <c r="B324" s="5" t="s">
        <v>7</v>
      </c>
      <c r="C324" s="79">
        <v>200383</v>
      </c>
      <c r="D324" s="79" t="s">
        <v>566</v>
      </c>
      <c r="E324" s="201">
        <v>8996001317020</v>
      </c>
      <c r="F324" s="8">
        <v>0</v>
      </c>
    </row>
    <row r="325" spans="1:6">
      <c r="A325" s="5" t="s">
        <v>25</v>
      </c>
      <c r="B325" s="5" t="s">
        <v>7</v>
      </c>
      <c r="C325" s="156">
        <v>988100721</v>
      </c>
      <c r="D325" s="79" t="s">
        <v>567</v>
      </c>
      <c r="E325" s="201">
        <v>622210515285</v>
      </c>
      <c r="F325" s="8"/>
    </row>
    <row r="326" spans="1:6">
      <c r="A326" s="5" t="s">
        <v>25</v>
      </c>
      <c r="B326" s="5" t="s">
        <v>7</v>
      </c>
      <c r="C326" s="156">
        <v>988100722</v>
      </c>
      <c r="D326" s="79" t="s">
        <v>269</v>
      </c>
      <c r="E326" s="201">
        <v>622210515278</v>
      </c>
      <c r="F326" s="8">
        <v>1</v>
      </c>
    </row>
    <row r="327" spans="1:6">
      <c r="A327" s="5" t="s">
        <v>25</v>
      </c>
      <c r="B327" s="5" t="s">
        <v>7</v>
      </c>
      <c r="C327" s="156">
        <v>988100723</v>
      </c>
      <c r="D327" s="79" t="s">
        <v>568</v>
      </c>
      <c r="E327" s="201">
        <v>8992741902265</v>
      </c>
      <c r="F327" s="8">
        <v>0</v>
      </c>
    </row>
    <row r="328" spans="1:6">
      <c r="A328" s="5" t="s">
        <v>25</v>
      </c>
      <c r="B328" s="5" t="s">
        <v>7</v>
      </c>
      <c r="C328" s="156">
        <v>988100724</v>
      </c>
      <c r="D328" s="79" t="s">
        <v>569</v>
      </c>
      <c r="E328" s="201">
        <v>8992741902258</v>
      </c>
      <c r="F328" s="8">
        <v>0</v>
      </c>
    </row>
    <row r="329" spans="1:6">
      <c r="A329" s="5" t="s">
        <v>25</v>
      </c>
      <c r="B329" s="5" t="s">
        <v>41</v>
      </c>
      <c r="C329" s="156">
        <v>988100727</v>
      </c>
      <c r="D329" s="102" t="s">
        <v>245</v>
      </c>
      <c r="E329" s="200" t="s">
        <v>246</v>
      </c>
      <c r="F329" s="8">
        <v>1</v>
      </c>
    </row>
    <row r="330" spans="1:6" ht="14.5">
      <c r="A330" s="5" t="s">
        <v>25</v>
      </c>
      <c r="B330" s="5" t="s">
        <v>7</v>
      </c>
      <c r="C330" s="202">
        <v>988100729</v>
      </c>
      <c r="D330" s="170" t="s">
        <v>571</v>
      </c>
      <c r="E330" s="188">
        <v>8993175531863</v>
      </c>
      <c r="F330" s="8">
        <v>42</v>
      </c>
    </row>
    <row r="331" spans="1:6" ht="14.5">
      <c r="A331" s="5" t="s">
        <v>25</v>
      </c>
      <c r="B331" s="5" t="s">
        <v>7</v>
      </c>
      <c r="C331" s="202">
        <v>988100731</v>
      </c>
      <c r="D331" s="170" t="s">
        <v>573</v>
      </c>
      <c r="E331" s="188">
        <v>8993175532891</v>
      </c>
      <c r="F331" s="8">
        <v>0</v>
      </c>
    </row>
    <row r="332" spans="1:6" ht="14.5">
      <c r="A332" s="5" t="s">
        <v>25</v>
      </c>
      <c r="B332" s="5" t="s">
        <v>7</v>
      </c>
      <c r="C332" s="202">
        <v>988100734</v>
      </c>
      <c r="D332" s="170" t="s">
        <v>576</v>
      </c>
      <c r="E332" s="188">
        <v>8994504102129</v>
      </c>
      <c r="F332" s="8">
        <v>28</v>
      </c>
    </row>
    <row r="333" spans="1:6" ht="14.5">
      <c r="A333" s="5" t="s">
        <v>25</v>
      </c>
      <c r="B333" s="5" t="s">
        <v>7</v>
      </c>
      <c r="C333" s="202">
        <v>988100735</v>
      </c>
      <c r="D333" s="170" t="s">
        <v>577</v>
      </c>
      <c r="E333" s="200" t="s">
        <v>789</v>
      </c>
      <c r="F333" s="8">
        <v>60</v>
      </c>
    </row>
    <row r="334" spans="1:6" ht="14.5">
      <c r="A334" s="5" t="s">
        <v>25</v>
      </c>
      <c r="B334" s="5" t="s">
        <v>7</v>
      </c>
      <c r="C334" s="202">
        <v>988100736</v>
      </c>
      <c r="D334" s="170" t="s">
        <v>578</v>
      </c>
      <c r="E334" s="200" t="s">
        <v>790</v>
      </c>
      <c r="F334" s="8">
        <v>98</v>
      </c>
    </row>
    <row r="335" spans="1:6">
      <c r="A335" s="5" t="s">
        <v>6</v>
      </c>
      <c r="B335" s="5" t="s">
        <v>7</v>
      </c>
      <c r="C335" s="202">
        <v>988100738</v>
      </c>
      <c r="D335" s="102" t="s">
        <v>251</v>
      </c>
      <c r="E335" s="23">
        <v>8991749000135</v>
      </c>
      <c r="F335" s="8">
        <v>0</v>
      </c>
    </row>
    <row r="336" spans="1:6">
      <c r="A336" s="5" t="s">
        <v>25</v>
      </c>
      <c r="B336" s="5" t="s">
        <v>41</v>
      </c>
      <c r="C336" s="202">
        <v>988100737</v>
      </c>
      <c r="D336" s="102" t="s">
        <v>248</v>
      </c>
      <c r="E336" s="23" t="s">
        <v>249</v>
      </c>
      <c r="F336" s="8">
        <v>4</v>
      </c>
    </row>
    <row r="337" spans="1:6">
      <c r="A337" s="11" t="s">
        <v>40</v>
      </c>
      <c r="B337" s="11" t="s">
        <v>41</v>
      </c>
      <c r="C337" s="156">
        <v>988100704</v>
      </c>
      <c r="D337" s="102" t="s">
        <v>231</v>
      </c>
      <c r="E337" s="23">
        <v>8997005543057</v>
      </c>
      <c r="F337" s="8">
        <v>33</v>
      </c>
    </row>
    <row r="338" spans="1:6">
      <c r="A338" s="5" t="s">
        <v>25</v>
      </c>
      <c r="B338" s="5" t="s">
        <v>7</v>
      </c>
      <c r="C338" s="156">
        <v>200033</v>
      </c>
      <c r="D338" s="102" t="s">
        <v>247</v>
      </c>
      <c r="E338" s="23">
        <v>8992802063173</v>
      </c>
      <c r="F338" s="8">
        <v>42</v>
      </c>
    </row>
    <row r="339" spans="1:6">
      <c r="A339" s="5" t="s">
        <v>25</v>
      </c>
      <c r="B339" s="5" t="s">
        <v>7</v>
      </c>
      <c r="C339" s="156">
        <v>988100712</v>
      </c>
      <c r="D339" s="102" t="s">
        <v>250</v>
      </c>
      <c r="E339" s="23">
        <v>8992802063357</v>
      </c>
      <c r="F339" s="8">
        <v>40</v>
      </c>
    </row>
    <row r="340" spans="1:6">
      <c r="A340" s="5" t="s">
        <v>25</v>
      </c>
      <c r="B340" s="5" t="s">
        <v>7</v>
      </c>
      <c r="C340" s="156">
        <v>200034</v>
      </c>
      <c r="D340" s="102" t="s">
        <v>252</v>
      </c>
      <c r="E340" s="23">
        <v>8992802063012</v>
      </c>
      <c r="F340" s="8">
        <v>42</v>
      </c>
    </row>
    <row r="341" spans="1:6">
      <c r="A341" s="11" t="s">
        <v>40</v>
      </c>
      <c r="B341" s="11" t="s">
        <v>41</v>
      </c>
      <c r="C341" s="202">
        <v>988100739</v>
      </c>
      <c r="D341" s="102" t="s">
        <v>262</v>
      </c>
      <c r="E341" s="23">
        <v>985225070116</v>
      </c>
      <c r="F341" s="8">
        <v>0</v>
      </c>
    </row>
    <row r="342" spans="1:6">
      <c r="A342" s="11" t="s">
        <v>40</v>
      </c>
      <c r="B342" s="11" t="s">
        <v>41</v>
      </c>
      <c r="C342" s="202">
        <v>988100740</v>
      </c>
      <c r="D342" s="102" t="s">
        <v>580</v>
      </c>
      <c r="E342" s="23">
        <v>8997233271371</v>
      </c>
      <c r="F342" s="8">
        <v>11</v>
      </c>
    </row>
    <row r="343" spans="1:6">
      <c r="A343" s="11" t="s">
        <v>40</v>
      </c>
      <c r="B343" s="11" t="s">
        <v>41</v>
      </c>
      <c r="C343" s="202">
        <v>988100741</v>
      </c>
      <c r="D343" s="102" t="s">
        <v>581</v>
      </c>
      <c r="E343" s="23">
        <v>8997233271388</v>
      </c>
      <c r="F343" s="8">
        <v>11</v>
      </c>
    </row>
    <row r="344" spans="1:6">
      <c r="A344" s="11" t="s">
        <v>40</v>
      </c>
      <c r="B344" s="11" t="s">
        <v>41</v>
      </c>
      <c r="C344" s="202">
        <v>988100742</v>
      </c>
      <c r="D344" s="102" t="s">
        <v>582</v>
      </c>
      <c r="E344" s="23">
        <v>8997233271395</v>
      </c>
      <c r="F344" s="8">
        <v>10</v>
      </c>
    </row>
    <row r="345" spans="1:6">
      <c r="A345" s="11" t="s">
        <v>40</v>
      </c>
      <c r="B345" s="11" t="s">
        <v>41</v>
      </c>
      <c r="C345" s="202">
        <v>988100743</v>
      </c>
      <c r="D345" s="102" t="s">
        <v>583</v>
      </c>
      <c r="E345" s="23">
        <v>8997233271319</v>
      </c>
      <c r="F345" s="8"/>
    </row>
    <row r="346" spans="1:6">
      <c r="A346" s="11" t="s">
        <v>40</v>
      </c>
      <c r="B346" s="11" t="s">
        <v>41</v>
      </c>
      <c r="C346" s="202">
        <v>988100744</v>
      </c>
      <c r="D346" s="102" t="s">
        <v>584</v>
      </c>
      <c r="E346" s="23">
        <v>8997233271302</v>
      </c>
      <c r="F346" s="8"/>
    </row>
    <row r="347" spans="1:6">
      <c r="A347" s="11" t="s">
        <v>40</v>
      </c>
      <c r="B347" s="11" t="s">
        <v>41</v>
      </c>
      <c r="C347" s="202">
        <v>988100745</v>
      </c>
      <c r="D347" s="102" t="s">
        <v>585</v>
      </c>
      <c r="E347" s="23">
        <v>8997233271326</v>
      </c>
      <c r="F347" s="8"/>
    </row>
    <row r="348" spans="1:6">
      <c r="A348" s="5" t="s">
        <v>40</v>
      </c>
      <c r="B348" s="5" t="s">
        <v>41</v>
      </c>
      <c r="C348" s="156">
        <v>988100746</v>
      </c>
      <c r="D348" s="102" t="s">
        <v>263</v>
      </c>
      <c r="E348" s="23">
        <v>8997005543149</v>
      </c>
      <c r="F348" s="8">
        <v>12</v>
      </c>
    </row>
    <row r="349" spans="1:6">
      <c r="A349" s="5" t="s">
        <v>25</v>
      </c>
      <c r="B349" s="5" t="s">
        <v>7</v>
      </c>
      <c r="C349" s="156">
        <v>988100749</v>
      </c>
      <c r="D349" s="102" t="s">
        <v>791</v>
      </c>
      <c r="E349" s="23">
        <v>8968673701</v>
      </c>
      <c r="F349" s="8"/>
    </row>
    <row r="350" spans="1:6">
      <c r="A350" s="5" t="s">
        <v>25</v>
      </c>
      <c r="B350" s="5" t="s">
        <v>7</v>
      </c>
      <c r="C350" s="23">
        <v>8991102794619</v>
      </c>
      <c r="D350" s="102" t="s">
        <v>792</v>
      </c>
      <c r="E350" s="23">
        <v>8991102794619</v>
      </c>
      <c r="F350" s="8"/>
    </row>
    <row r="351" spans="1:6">
      <c r="A351" s="5" t="s">
        <v>25</v>
      </c>
      <c r="B351" s="5" t="s">
        <v>7</v>
      </c>
      <c r="C351" s="23">
        <v>8994075240954</v>
      </c>
      <c r="D351" s="102" t="s">
        <v>300</v>
      </c>
      <c r="E351" s="23">
        <v>8994075240954</v>
      </c>
      <c r="F351" s="8"/>
    </row>
    <row r="352" spans="1:6">
      <c r="A352" s="11" t="s">
        <v>25</v>
      </c>
      <c r="B352" s="11" t="s">
        <v>7</v>
      </c>
      <c r="C352" s="202">
        <v>200347</v>
      </c>
      <c r="D352" s="102" t="s">
        <v>270</v>
      </c>
      <c r="E352" s="203"/>
      <c r="F352" s="8">
        <v>21</v>
      </c>
    </row>
    <row r="353" spans="1:6">
      <c r="A353" s="33"/>
      <c r="B353" s="33"/>
      <c r="C353" s="121"/>
      <c r="D353" s="73"/>
      <c r="E353" s="36"/>
      <c r="F353" s="204"/>
    </row>
  </sheetData>
  <conditionalFormatting sqref="D3">
    <cfRule type="duplicateValues" dxfId="891" priority="525"/>
  </conditionalFormatting>
  <conditionalFormatting sqref="D4">
    <cfRule type="duplicateValues" dxfId="890" priority="524"/>
  </conditionalFormatting>
  <conditionalFormatting sqref="D5">
    <cfRule type="duplicateValues" dxfId="889" priority="523"/>
  </conditionalFormatting>
  <conditionalFormatting sqref="D7">
    <cfRule type="duplicateValues" dxfId="888" priority="538"/>
  </conditionalFormatting>
  <conditionalFormatting sqref="D8">
    <cfRule type="duplicateValues" dxfId="887" priority="522"/>
  </conditionalFormatting>
  <conditionalFormatting sqref="D9">
    <cfRule type="duplicateValues" dxfId="886" priority="521"/>
  </conditionalFormatting>
  <conditionalFormatting sqref="D10">
    <cfRule type="duplicateValues" dxfId="885" priority="520"/>
  </conditionalFormatting>
  <conditionalFormatting sqref="D11">
    <cfRule type="duplicateValues" dxfId="884" priority="519"/>
  </conditionalFormatting>
  <conditionalFormatting sqref="D12">
    <cfRule type="duplicateValues" dxfId="883" priority="422"/>
  </conditionalFormatting>
  <conditionalFormatting sqref="D12:D14">
    <cfRule type="duplicateValues" dxfId="882" priority="518"/>
  </conditionalFormatting>
  <conditionalFormatting sqref="D13">
    <cfRule type="duplicateValues" dxfId="881" priority="421"/>
  </conditionalFormatting>
  <conditionalFormatting sqref="D14">
    <cfRule type="duplicateValues" dxfId="880" priority="420"/>
  </conditionalFormatting>
  <conditionalFormatting sqref="D15">
    <cfRule type="duplicateValues" dxfId="879" priority="517"/>
  </conditionalFormatting>
  <conditionalFormatting sqref="D16">
    <cfRule type="duplicateValues" dxfId="878" priority="516"/>
  </conditionalFormatting>
  <conditionalFormatting sqref="D17">
    <cfRule type="duplicateValues" dxfId="877" priority="515"/>
  </conditionalFormatting>
  <conditionalFormatting sqref="D18">
    <cfRule type="duplicateValues" dxfId="876" priority="514"/>
  </conditionalFormatting>
  <conditionalFormatting sqref="D19">
    <cfRule type="duplicateValues" dxfId="875" priority="435"/>
  </conditionalFormatting>
  <conditionalFormatting sqref="D19:D20">
    <cfRule type="duplicateValues" dxfId="874" priority="513"/>
  </conditionalFormatting>
  <conditionalFormatting sqref="D20">
    <cfRule type="duplicateValues" dxfId="873" priority="499"/>
  </conditionalFormatting>
  <conditionalFormatting sqref="D21">
    <cfRule type="duplicateValues" dxfId="872" priority="512"/>
  </conditionalFormatting>
  <conditionalFormatting sqref="D22">
    <cfRule type="duplicateValues" dxfId="871" priority="511"/>
  </conditionalFormatting>
  <conditionalFormatting sqref="D23">
    <cfRule type="duplicateValues" dxfId="870" priority="510"/>
  </conditionalFormatting>
  <conditionalFormatting sqref="D24">
    <cfRule type="duplicateValues" dxfId="869" priority="419"/>
  </conditionalFormatting>
  <conditionalFormatting sqref="D24:D30">
    <cfRule type="duplicateValues" dxfId="868" priority="509"/>
  </conditionalFormatting>
  <conditionalFormatting sqref="D26:D31">
    <cfRule type="duplicateValues" dxfId="867" priority="418"/>
  </conditionalFormatting>
  <conditionalFormatting sqref="D31">
    <cfRule type="duplicateValues" dxfId="866" priority="539"/>
  </conditionalFormatting>
  <conditionalFormatting sqref="D32">
    <cfRule type="duplicateValues" dxfId="865" priority="508"/>
  </conditionalFormatting>
  <conditionalFormatting sqref="D33">
    <cfRule type="duplicateValues" dxfId="864" priority="507"/>
  </conditionalFormatting>
  <conditionalFormatting sqref="D33:D35">
    <cfRule type="duplicateValues" dxfId="863" priority="417"/>
  </conditionalFormatting>
  <conditionalFormatting sqref="D36">
    <cfRule type="duplicateValues" dxfId="862" priority="506"/>
  </conditionalFormatting>
  <conditionalFormatting sqref="D37">
    <cfRule type="duplicateValues" dxfId="861" priority="505"/>
  </conditionalFormatting>
  <conditionalFormatting sqref="D37:D38">
    <cfRule type="duplicateValues" dxfId="860" priority="434"/>
  </conditionalFormatting>
  <conditionalFormatting sqref="D38">
    <cfRule type="duplicateValues" dxfId="859" priority="504"/>
  </conditionalFormatting>
  <conditionalFormatting sqref="D39">
    <cfRule type="duplicateValues" dxfId="858" priority="433"/>
  </conditionalFormatting>
  <conditionalFormatting sqref="D39:D40">
    <cfRule type="duplicateValues" dxfId="857" priority="503"/>
  </conditionalFormatting>
  <conditionalFormatting sqref="D40">
    <cfRule type="duplicateValues" dxfId="856" priority="500"/>
  </conditionalFormatting>
  <conditionalFormatting sqref="D40:D41">
    <cfRule type="duplicateValues" dxfId="855" priority="432"/>
  </conditionalFormatting>
  <conditionalFormatting sqref="D41">
    <cfRule type="duplicateValues" dxfId="854" priority="429"/>
  </conditionalFormatting>
  <conditionalFormatting sqref="D41:D70 D72">
    <cfRule type="duplicateValues" dxfId="853" priority="502"/>
  </conditionalFormatting>
  <conditionalFormatting sqref="D42">
    <cfRule type="duplicateValues" dxfId="852" priority="416"/>
  </conditionalFormatting>
  <conditionalFormatting sqref="D44">
    <cfRule type="duplicateValues" dxfId="851" priority="415"/>
  </conditionalFormatting>
  <conditionalFormatting sqref="D45">
    <cfRule type="duplicateValues" dxfId="850" priority="414"/>
  </conditionalFormatting>
  <conditionalFormatting sqref="D46">
    <cfRule type="duplicateValues" dxfId="849" priority="413"/>
  </conditionalFormatting>
  <conditionalFormatting sqref="D47">
    <cfRule type="duplicateValues" dxfId="848" priority="412"/>
  </conditionalFormatting>
  <conditionalFormatting sqref="D48">
    <cfRule type="duplicateValues" dxfId="847" priority="411"/>
  </conditionalFormatting>
  <conditionalFormatting sqref="D49">
    <cfRule type="duplicateValues" dxfId="846" priority="410"/>
  </conditionalFormatting>
  <conditionalFormatting sqref="D50">
    <cfRule type="duplicateValues" dxfId="845" priority="409"/>
  </conditionalFormatting>
  <conditionalFormatting sqref="D51">
    <cfRule type="duplicateValues" dxfId="844" priority="408"/>
  </conditionalFormatting>
  <conditionalFormatting sqref="D53:D61">
    <cfRule type="duplicateValues" dxfId="843" priority="407"/>
  </conditionalFormatting>
  <conditionalFormatting sqref="D62">
    <cfRule type="duplicateValues" dxfId="842" priority="406"/>
  </conditionalFormatting>
  <conditionalFormatting sqref="D63">
    <cfRule type="duplicateValues" dxfId="841" priority="405"/>
  </conditionalFormatting>
  <conditionalFormatting sqref="D64">
    <cfRule type="duplicateValues" dxfId="840" priority="404"/>
  </conditionalFormatting>
  <conditionalFormatting sqref="D65:D76">
    <cfRule type="duplicateValues" dxfId="839" priority="548"/>
  </conditionalFormatting>
  <conditionalFormatting sqref="D67">
    <cfRule type="duplicateValues" dxfId="838" priority="498"/>
  </conditionalFormatting>
  <conditionalFormatting sqref="D68">
    <cfRule type="duplicateValues" dxfId="837" priority="428"/>
  </conditionalFormatting>
  <conditionalFormatting sqref="D68:D70 D72">
    <cfRule type="duplicateValues" dxfId="836" priority="497"/>
  </conditionalFormatting>
  <conditionalFormatting sqref="D69">
    <cfRule type="duplicateValues" dxfId="835" priority="496"/>
  </conditionalFormatting>
  <conditionalFormatting sqref="D69:D71 D73">
    <cfRule type="duplicateValues" dxfId="834" priority="427"/>
  </conditionalFormatting>
  <conditionalFormatting sqref="D70">
    <cfRule type="duplicateValues" dxfId="833" priority="495"/>
  </conditionalFormatting>
  <conditionalFormatting sqref="D71">
    <cfRule type="duplicateValues" dxfId="832" priority="426"/>
  </conditionalFormatting>
  <conditionalFormatting sqref="D72">
    <cfRule type="duplicateValues" dxfId="831" priority="494"/>
  </conditionalFormatting>
  <conditionalFormatting sqref="D73 D42 D44:D71">
    <cfRule type="duplicateValues" dxfId="830" priority="431"/>
  </conditionalFormatting>
  <conditionalFormatting sqref="D73">
    <cfRule type="duplicateValues" dxfId="829" priority="425"/>
  </conditionalFormatting>
  <conditionalFormatting sqref="D77">
    <cfRule type="duplicateValues" dxfId="828" priority="544"/>
  </conditionalFormatting>
  <conditionalFormatting sqref="D77:D93">
    <cfRule type="duplicateValues" dxfId="827" priority="545"/>
  </conditionalFormatting>
  <conditionalFormatting sqref="D79:D93">
    <cfRule type="duplicateValues" dxfId="826" priority="493"/>
  </conditionalFormatting>
  <conditionalFormatting sqref="D80 D2:D7 D9:D19 D22:D42 D44:D76 D82:D84 D86 D89:D91 D93:D108">
    <cfRule type="duplicateValues" dxfId="825" priority="394"/>
  </conditionalFormatting>
  <conditionalFormatting sqref="D80 D82:D84 D86 D89:D91 D93:D94">
    <cfRule type="duplicateValues" dxfId="824" priority="424"/>
  </conditionalFormatting>
  <conditionalFormatting sqref="D80">
    <cfRule type="duplicateValues" dxfId="823" priority="403"/>
  </conditionalFormatting>
  <conditionalFormatting sqref="D80:D93">
    <cfRule type="duplicateValues" dxfId="822" priority="492"/>
  </conditionalFormatting>
  <conditionalFormatting sqref="D82">
    <cfRule type="duplicateValues" dxfId="821" priority="402"/>
  </conditionalFormatting>
  <conditionalFormatting sqref="D82:D84 D86 D89:D91 D93:D94">
    <cfRule type="duplicateValues" dxfId="820" priority="423"/>
  </conditionalFormatting>
  <conditionalFormatting sqref="D83">
    <cfRule type="duplicateValues" dxfId="819" priority="401"/>
  </conditionalFormatting>
  <conditionalFormatting sqref="D84">
    <cfRule type="duplicateValues" dxfId="818" priority="400"/>
  </conditionalFormatting>
  <conditionalFormatting sqref="D86">
    <cfRule type="duplicateValues" dxfId="817" priority="399"/>
  </conditionalFormatting>
  <conditionalFormatting sqref="D89">
    <cfRule type="duplicateValues" dxfId="816" priority="398"/>
  </conditionalFormatting>
  <conditionalFormatting sqref="D90">
    <cfRule type="duplicateValues" dxfId="815" priority="397"/>
  </conditionalFormatting>
  <conditionalFormatting sqref="D91">
    <cfRule type="duplicateValues" dxfId="814" priority="396"/>
  </conditionalFormatting>
  <conditionalFormatting sqref="D96">
    <cfRule type="duplicateValues" dxfId="813" priority="501"/>
  </conditionalFormatting>
  <conditionalFormatting sqref="D97">
    <cfRule type="duplicateValues" dxfId="812" priority="430"/>
  </conditionalFormatting>
  <conditionalFormatting sqref="D98">
    <cfRule type="duplicateValues" dxfId="811" priority="395"/>
  </conditionalFormatting>
  <conditionalFormatting sqref="D101:D108">
    <cfRule type="duplicateValues" dxfId="810" priority="393"/>
  </conditionalFormatting>
  <conditionalFormatting sqref="D102">
    <cfRule type="duplicateValues" dxfId="809" priority="392"/>
  </conditionalFormatting>
  <conditionalFormatting sqref="D103:D108">
    <cfRule type="duplicateValues" dxfId="808" priority="391"/>
  </conditionalFormatting>
  <conditionalFormatting sqref="D104:D106">
    <cfRule type="duplicateValues" dxfId="807" priority="390"/>
  </conditionalFormatting>
  <conditionalFormatting sqref="D107">
    <cfRule type="duplicateValues" dxfId="806" priority="389"/>
  </conditionalFormatting>
  <conditionalFormatting sqref="D108">
    <cfRule type="duplicateValues" dxfId="805" priority="388"/>
  </conditionalFormatting>
  <conditionalFormatting sqref="D111">
    <cfRule type="duplicateValues" dxfId="804" priority="387"/>
  </conditionalFormatting>
  <conditionalFormatting sqref="D113">
    <cfRule type="duplicateValues" dxfId="803" priority="386"/>
  </conditionalFormatting>
  <conditionalFormatting sqref="D115">
    <cfRule type="duplicateValues" dxfId="802" priority="385"/>
  </conditionalFormatting>
  <conditionalFormatting sqref="D116">
    <cfRule type="duplicateValues" dxfId="801" priority="384"/>
  </conditionalFormatting>
  <conditionalFormatting sqref="D121:D128">
    <cfRule type="duplicateValues" dxfId="800" priority="383"/>
  </conditionalFormatting>
  <conditionalFormatting sqref="D124:D128">
    <cfRule type="duplicateValues" dxfId="799" priority="382"/>
  </conditionalFormatting>
  <conditionalFormatting sqref="D125:D128">
    <cfRule type="duplicateValues" dxfId="798" priority="381"/>
  </conditionalFormatting>
  <conditionalFormatting sqref="D131:D142">
    <cfRule type="duplicateValues" dxfId="797" priority="380"/>
  </conditionalFormatting>
  <conditionalFormatting sqref="D132">
    <cfRule type="duplicateValues" dxfId="796" priority="379"/>
  </conditionalFormatting>
  <conditionalFormatting sqref="D135:D142">
    <cfRule type="duplicateValues" dxfId="795" priority="378"/>
  </conditionalFormatting>
  <conditionalFormatting sqref="D136">
    <cfRule type="duplicateValues" dxfId="794" priority="375"/>
  </conditionalFormatting>
  <conditionalFormatting sqref="D137">
    <cfRule type="duplicateValues" dxfId="793" priority="376"/>
  </conditionalFormatting>
  <conditionalFormatting sqref="D137:D142">
    <cfRule type="duplicateValues" dxfId="792" priority="377"/>
  </conditionalFormatting>
  <conditionalFormatting sqref="D141:D142">
    <cfRule type="duplicateValues" dxfId="791" priority="374"/>
  </conditionalFormatting>
  <conditionalFormatting sqref="D144:D154">
    <cfRule type="duplicateValues" dxfId="790" priority="373"/>
  </conditionalFormatting>
  <conditionalFormatting sqref="D146:D154">
    <cfRule type="duplicateValues" dxfId="789" priority="372"/>
  </conditionalFormatting>
  <conditionalFormatting sqref="D147">
    <cfRule type="duplicateValues" dxfId="788" priority="369"/>
  </conditionalFormatting>
  <conditionalFormatting sqref="D147:D148">
    <cfRule type="duplicateValues" dxfId="787" priority="370"/>
  </conditionalFormatting>
  <conditionalFormatting sqref="D147:D154">
    <cfRule type="duplicateValues" dxfId="786" priority="371"/>
  </conditionalFormatting>
  <conditionalFormatting sqref="D148">
    <cfRule type="duplicateValues" dxfId="785" priority="368"/>
  </conditionalFormatting>
  <conditionalFormatting sqref="D149">
    <cfRule type="duplicateValues" dxfId="784" priority="367"/>
  </conditionalFormatting>
  <conditionalFormatting sqref="D156">
    <cfRule type="duplicateValues" dxfId="783" priority="1"/>
    <cfRule type="duplicateValues" dxfId="782" priority="2"/>
  </conditionalFormatting>
  <conditionalFormatting sqref="D157:D178 D2:D155">
    <cfRule type="duplicateValues" dxfId="781" priority="491"/>
  </conditionalFormatting>
  <conditionalFormatting sqref="D157:D230 D2:D155">
    <cfRule type="duplicateValues" dxfId="780" priority="542"/>
  </conditionalFormatting>
  <conditionalFormatting sqref="D174:D180 D182:D184">
    <cfRule type="duplicateValues" dxfId="779" priority="366"/>
  </conditionalFormatting>
  <conditionalFormatting sqref="D176:D180 D182:D184">
    <cfRule type="duplicateValues" dxfId="778" priority="365"/>
  </conditionalFormatting>
  <conditionalFormatting sqref="D177:D178">
    <cfRule type="duplicateValues" dxfId="777" priority="490"/>
  </conditionalFormatting>
  <conditionalFormatting sqref="D178:D180 D182:D184">
    <cfRule type="duplicateValues" dxfId="776" priority="364"/>
  </conditionalFormatting>
  <conditionalFormatting sqref="D180">
    <cfRule type="duplicateValues" dxfId="775" priority="363"/>
  </conditionalFormatting>
  <conditionalFormatting sqref="D187">
    <cfRule type="duplicateValues" dxfId="774" priority="489"/>
  </conditionalFormatting>
  <conditionalFormatting sqref="D188">
    <cfRule type="duplicateValues" dxfId="773" priority="362"/>
  </conditionalFormatting>
  <conditionalFormatting sqref="D188:D193">
    <cfRule type="duplicateValues" dxfId="772" priority="488"/>
  </conditionalFormatting>
  <conditionalFormatting sqref="D189">
    <cfRule type="duplicateValues" dxfId="771" priority="361"/>
  </conditionalFormatting>
  <conditionalFormatting sqref="D190">
    <cfRule type="duplicateValues" dxfId="770" priority="360"/>
  </conditionalFormatting>
  <conditionalFormatting sqref="D191">
    <cfRule type="duplicateValues" dxfId="769" priority="359"/>
  </conditionalFormatting>
  <conditionalFormatting sqref="D191:D193">
    <cfRule type="duplicateValues" dxfId="768" priority="487"/>
  </conditionalFormatting>
  <conditionalFormatting sqref="D192">
    <cfRule type="duplicateValues" dxfId="767" priority="358"/>
  </conditionalFormatting>
  <conditionalFormatting sqref="D196">
    <cfRule type="duplicateValues" dxfId="766" priority="486"/>
  </conditionalFormatting>
  <conditionalFormatting sqref="D199:D221">
    <cfRule type="duplicateValues" dxfId="765" priority="357"/>
  </conditionalFormatting>
  <conditionalFormatting sqref="D200">
    <cfRule type="duplicateValues" dxfId="764" priority="291"/>
  </conditionalFormatting>
  <conditionalFormatting sqref="D200:D207">
    <cfRule type="duplicateValues" dxfId="763" priority="537"/>
  </conditionalFormatting>
  <conditionalFormatting sqref="D200:D221">
    <cfRule type="duplicateValues" dxfId="762" priority="356"/>
  </conditionalFormatting>
  <conditionalFormatting sqref="D201">
    <cfRule type="duplicateValues" dxfId="761" priority="354"/>
  </conditionalFormatting>
  <conditionalFormatting sqref="D201:D207">
    <cfRule type="duplicateValues" dxfId="760" priority="536"/>
  </conditionalFormatting>
  <conditionalFormatting sqref="D201:D221">
    <cfRule type="duplicateValues" dxfId="759" priority="355"/>
  </conditionalFormatting>
  <conditionalFormatting sqref="D204:D211">
    <cfRule type="duplicateValues" dxfId="758" priority="290"/>
  </conditionalFormatting>
  <conditionalFormatting sqref="D205:D221">
    <cfRule type="duplicateValues" dxfId="757" priority="353"/>
  </conditionalFormatting>
  <conditionalFormatting sqref="D206:D211">
    <cfRule type="duplicateValues" dxfId="756" priority="289"/>
  </conditionalFormatting>
  <conditionalFormatting sqref="D206:D221">
    <cfRule type="duplicateValues" dxfId="755" priority="352"/>
  </conditionalFormatting>
  <conditionalFormatting sqref="D207:D211">
    <cfRule type="duplicateValues" dxfId="754" priority="288"/>
  </conditionalFormatting>
  <conditionalFormatting sqref="D208:D221">
    <cfRule type="duplicateValues" dxfId="753" priority="351"/>
  </conditionalFormatting>
  <conditionalFormatting sqref="D208:D230">
    <cfRule type="duplicateValues" dxfId="752" priority="540"/>
  </conditionalFormatting>
  <conditionalFormatting sqref="D209">
    <cfRule type="duplicateValues" dxfId="751" priority="350"/>
  </conditionalFormatting>
  <conditionalFormatting sqref="D210:D221">
    <cfRule type="duplicateValues" dxfId="750" priority="349"/>
  </conditionalFormatting>
  <conditionalFormatting sqref="D213:D221">
    <cfRule type="duplicateValues" dxfId="749" priority="348"/>
  </conditionalFormatting>
  <conditionalFormatting sqref="D214:D224">
    <cfRule type="duplicateValues" dxfId="748" priority="287"/>
  </conditionalFormatting>
  <conditionalFormatting sqref="D215:D221">
    <cfRule type="duplicateValues" dxfId="747" priority="347"/>
  </conditionalFormatting>
  <conditionalFormatting sqref="D215:D224">
    <cfRule type="duplicateValues" dxfId="746" priority="286"/>
  </conditionalFormatting>
  <conditionalFormatting sqref="D216">
    <cfRule type="duplicateValues" dxfId="745" priority="346"/>
  </conditionalFormatting>
  <conditionalFormatting sqref="D216:D224">
    <cfRule type="duplicateValues" dxfId="744" priority="285"/>
  </conditionalFormatting>
  <conditionalFormatting sqref="D217">
    <cfRule type="duplicateValues" dxfId="743" priority="345"/>
  </conditionalFormatting>
  <conditionalFormatting sqref="D217:D224">
    <cfRule type="duplicateValues" dxfId="742" priority="284"/>
  </conditionalFormatting>
  <conditionalFormatting sqref="D218:D221">
    <cfRule type="duplicateValues" dxfId="741" priority="344"/>
  </conditionalFormatting>
  <conditionalFormatting sqref="D218:D224">
    <cfRule type="duplicateValues" dxfId="740" priority="283"/>
  </conditionalFormatting>
  <conditionalFormatting sqref="D219:D221">
    <cfRule type="duplicateValues" dxfId="739" priority="343"/>
  </conditionalFormatting>
  <conditionalFormatting sqref="D221">
    <cfRule type="duplicateValues" dxfId="738" priority="342"/>
  </conditionalFormatting>
  <conditionalFormatting sqref="D222">
    <cfRule type="duplicateValues" dxfId="737" priority="281"/>
  </conditionalFormatting>
  <conditionalFormatting sqref="D222:D224">
    <cfRule type="duplicateValues" dxfId="736" priority="282"/>
  </conditionalFormatting>
  <conditionalFormatting sqref="D223">
    <cfRule type="duplicateValues" dxfId="735" priority="280"/>
  </conditionalFormatting>
  <conditionalFormatting sqref="D224">
    <cfRule type="duplicateValues" dxfId="734" priority="279"/>
  </conditionalFormatting>
  <conditionalFormatting sqref="D231">
    <cfRule type="duplicateValues" dxfId="733" priority="535"/>
  </conditionalFormatting>
  <conditionalFormatting sqref="D244:D267 D270:D276">
    <cfRule type="duplicateValues" dxfId="732" priority="276"/>
  </conditionalFormatting>
  <conditionalFormatting sqref="D245:D267 D270:D276">
    <cfRule type="duplicateValues" dxfId="731" priority="275"/>
  </conditionalFormatting>
  <conditionalFormatting sqref="D246:D267 D270:D276">
    <cfRule type="duplicateValues" dxfId="730" priority="274"/>
  </conditionalFormatting>
  <conditionalFormatting sqref="D247:D267 D270:D276">
    <cfRule type="duplicateValues" dxfId="729" priority="273"/>
  </conditionalFormatting>
  <conditionalFormatting sqref="D249:D267 D270:D276">
    <cfRule type="duplicateValues" dxfId="728" priority="272"/>
  </conditionalFormatting>
  <conditionalFormatting sqref="D250:D267 D270:D276">
    <cfRule type="duplicateValues" dxfId="727" priority="271"/>
  </conditionalFormatting>
  <conditionalFormatting sqref="D252:D267 D270:D276">
    <cfRule type="duplicateValues" dxfId="726" priority="270"/>
  </conditionalFormatting>
  <conditionalFormatting sqref="D253">
    <cfRule type="duplicateValues" dxfId="725" priority="278"/>
  </conditionalFormatting>
  <conditionalFormatting sqref="D254:D267 D270:D276">
    <cfRule type="duplicateValues" dxfId="724" priority="277"/>
  </conditionalFormatting>
  <conditionalFormatting sqref="D255:D267 D270:D276">
    <cfRule type="duplicateValues" dxfId="723" priority="269"/>
  </conditionalFormatting>
  <conditionalFormatting sqref="D257:D267 D270:D276">
    <cfRule type="duplicateValues" dxfId="722" priority="268"/>
  </conditionalFormatting>
  <conditionalFormatting sqref="D260:D267 D270:D276">
    <cfRule type="duplicateValues" dxfId="721" priority="267"/>
  </conditionalFormatting>
  <conditionalFormatting sqref="D263">
    <cfRule type="duplicateValues" dxfId="720" priority="266"/>
  </conditionalFormatting>
  <conditionalFormatting sqref="D264:D267 D270:D276">
    <cfRule type="duplicateValues" dxfId="719" priority="265"/>
  </conditionalFormatting>
  <conditionalFormatting sqref="D270">
    <cfRule type="duplicateValues" dxfId="718" priority="264"/>
  </conditionalFormatting>
  <conditionalFormatting sqref="D270:D271">
    <cfRule type="duplicateValues" dxfId="717" priority="262"/>
  </conditionalFormatting>
  <conditionalFormatting sqref="D271">
    <cfRule type="duplicateValues" dxfId="716" priority="263"/>
  </conditionalFormatting>
  <conditionalFormatting sqref="D272:D276">
    <cfRule type="duplicateValues" dxfId="715" priority="261"/>
  </conditionalFormatting>
  <conditionalFormatting sqref="D273:D276">
    <cfRule type="duplicateValues" dxfId="714" priority="260"/>
  </conditionalFormatting>
  <conditionalFormatting sqref="D274:D276">
    <cfRule type="duplicateValues" dxfId="713" priority="259"/>
  </conditionalFormatting>
  <conditionalFormatting sqref="D281">
    <cfRule type="duplicateValues" dxfId="712" priority="119"/>
  </conditionalFormatting>
  <conditionalFormatting sqref="D285:D287">
    <cfRule type="duplicateValues" dxfId="711" priority="112"/>
  </conditionalFormatting>
  <conditionalFormatting sqref="D291">
    <cfRule type="duplicateValues" dxfId="710" priority="105"/>
  </conditionalFormatting>
  <conditionalFormatting sqref="D295:D297">
    <cfRule type="duplicateValues" dxfId="709" priority="103"/>
    <cfRule type="duplicateValues" dxfId="708" priority="101"/>
  </conditionalFormatting>
  <conditionalFormatting sqref="D311">
    <cfRule type="duplicateValues" dxfId="707" priority="99"/>
    <cfRule type="duplicateValues" dxfId="706" priority="98"/>
  </conditionalFormatting>
  <conditionalFormatting sqref="D312">
    <cfRule type="duplicateValues" dxfId="705" priority="96"/>
    <cfRule type="duplicateValues" dxfId="704" priority="94"/>
    <cfRule type="duplicateValues" dxfId="703" priority="93"/>
    <cfRule type="duplicateValues" dxfId="702" priority="92"/>
  </conditionalFormatting>
  <conditionalFormatting sqref="D314">
    <cfRule type="duplicateValues" dxfId="701" priority="88"/>
    <cfRule type="duplicateValues" dxfId="700" priority="85"/>
    <cfRule type="duplicateValues" dxfId="699" priority="84"/>
    <cfRule type="duplicateValues" dxfId="698" priority="87"/>
    <cfRule type="duplicateValues" dxfId="697" priority="83"/>
    <cfRule type="duplicateValues" dxfId="696" priority="91"/>
    <cfRule type="duplicateValues" dxfId="695" priority="90"/>
    <cfRule type="duplicateValues" dxfId="694" priority="89"/>
    <cfRule type="duplicateValues" dxfId="693" priority="86"/>
    <cfRule type="duplicateValues" dxfId="692" priority="82"/>
    <cfRule type="duplicateValues" dxfId="691" priority="81"/>
  </conditionalFormatting>
  <conditionalFormatting sqref="E3">
    <cfRule type="duplicateValues" dxfId="690" priority="485"/>
  </conditionalFormatting>
  <conditionalFormatting sqref="E4">
    <cfRule type="duplicateValues" dxfId="689" priority="484"/>
  </conditionalFormatting>
  <conditionalFormatting sqref="E5">
    <cfRule type="duplicateValues" dxfId="688" priority="483"/>
  </conditionalFormatting>
  <conditionalFormatting sqref="E7">
    <cfRule type="duplicateValues" dxfId="687" priority="482"/>
  </conditionalFormatting>
  <conditionalFormatting sqref="E8">
    <cfRule type="duplicateValues" dxfId="686" priority="481"/>
  </conditionalFormatting>
  <conditionalFormatting sqref="E9">
    <cfRule type="duplicateValues" dxfId="685" priority="480"/>
  </conditionalFormatting>
  <conditionalFormatting sqref="E10">
    <cfRule type="duplicateValues" dxfId="684" priority="479"/>
  </conditionalFormatting>
  <conditionalFormatting sqref="E11">
    <cfRule type="duplicateValues" dxfId="683" priority="478"/>
  </conditionalFormatting>
  <conditionalFormatting sqref="E12:E14">
    <cfRule type="duplicateValues" dxfId="682" priority="477"/>
  </conditionalFormatting>
  <conditionalFormatting sqref="E15">
    <cfRule type="duplicateValues" dxfId="681" priority="476"/>
  </conditionalFormatting>
  <conditionalFormatting sqref="E16">
    <cfRule type="duplicateValues" dxfId="680" priority="475"/>
  </conditionalFormatting>
  <conditionalFormatting sqref="E17">
    <cfRule type="duplicateValues" dxfId="679" priority="474"/>
  </conditionalFormatting>
  <conditionalFormatting sqref="E18">
    <cfRule type="duplicateValues" dxfId="678" priority="473"/>
  </conditionalFormatting>
  <conditionalFormatting sqref="E19:E20">
    <cfRule type="duplicateValues" dxfId="677" priority="472"/>
  </conditionalFormatting>
  <conditionalFormatting sqref="E20">
    <cfRule type="duplicateValues" dxfId="676" priority="459"/>
  </conditionalFormatting>
  <conditionalFormatting sqref="E21">
    <cfRule type="duplicateValues" dxfId="675" priority="471"/>
  </conditionalFormatting>
  <conditionalFormatting sqref="E22">
    <cfRule type="duplicateValues" dxfId="674" priority="470"/>
  </conditionalFormatting>
  <conditionalFormatting sqref="E23">
    <cfRule type="duplicateValues" dxfId="673" priority="469"/>
  </conditionalFormatting>
  <conditionalFormatting sqref="E24:E30">
    <cfRule type="duplicateValues" dxfId="672" priority="468"/>
  </conditionalFormatting>
  <conditionalFormatting sqref="E31">
    <cfRule type="duplicateValues" dxfId="671" priority="534"/>
  </conditionalFormatting>
  <conditionalFormatting sqref="E32">
    <cfRule type="duplicateValues" dxfId="670" priority="467"/>
  </conditionalFormatting>
  <conditionalFormatting sqref="E33">
    <cfRule type="duplicateValues" dxfId="669" priority="466"/>
  </conditionalFormatting>
  <conditionalFormatting sqref="E36">
    <cfRule type="duplicateValues" dxfId="668" priority="465"/>
  </conditionalFormatting>
  <conditionalFormatting sqref="E37">
    <cfRule type="duplicateValues" dxfId="667" priority="464"/>
  </conditionalFormatting>
  <conditionalFormatting sqref="E38">
    <cfRule type="duplicateValues" dxfId="666" priority="463"/>
  </conditionalFormatting>
  <conditionalFormatting sqref="E39:E40">
    <cfRule type="duplicateValues" dxfId="665" priority="462"/>
  </conditionalFormatting>
  <conditionalFormatting sqref="E40">
    <cfRule type="duplicateValues" dxfId="664" priority="460"/>
  </conditionalFormatting>
  <conditionalFormatting sqref="E41:E70 E72">
    <cfRule type="duplicateValues" dxfId="663" priority="461"/>
  </conditionalFormatting>
  <conditionalFormatting sqref="E67">
    <cfRule type="duplicateValues" dxfId="662" priority="458"/>
  </conditionalFormatting>
  <conditionalFormatting sqref="E68:E70 E72">
    <cfRule type="duplicateValues" dxfId="661" priority="457"/>
  </conditionalFormatting>
  <conditionalFormatting sqref="E69">
    <cfRule type="duplicateValues" dxfId="660" priority="456"/>
  </conditionalFormatting>
  <conditionalFormatting sqref="E70">
    <cfRule type="duplicateValues" dxfId="659" priority="455"/>
  </conditionalFormatting>
  <conditionalFormatting sqref="E72">
    <cfRule type="duplicateValues" dxfId="658" priority="454"/>
  </conditionalFormatting>
  <conditionalFormatting sqref="E77">
    <cfRule type="duplicateValues" dxfId="657" priority="546"/>
  </conditionalFormatting>
  <conditionalFormatting sqref="E77:E93">
    <cfRule type="duplicateValues" dxfId="656" priority="547"/>
  </conditionalFormatting>
  <conditionalFormatting sqref="E79:E93">
    <cfRule type="duplicateValues" dxfId="655" priority="453"/>
  </conditionalFormatting>
  <conditionalFormatting sqref="E80:E93">
    <cfRule type="duplicateValues" dxfId="654" priority="452"/>
  </conditionalFormatting>
  <conditionalFormatting sqref="E104">
    <cfRule type="duplicateValues" dxfId="653" priority="339"/>
  </conditionalFormatting>
  <conditionalFormatting sqref="E104:E106">
    <cfRule type="duplicateValues" dxfId="652" priority="340"/>
  </conditionalFormatting>
  <conditionalFormatting sqref="E104:E108">
    <cfRule type="duplicateValues" dxfId="651" priority="341"/>
  </conditionalFormatting>
  <conditionalFormatting sqref="E105">
    <cfRule type="duplicateValues" dxfId="650" priority="338"/>
  </conditionalFormatting>
  <conditionalFormatting sqref="E106">
    <cfRule type="duplicateValues" dxfId="649" priority="337"/>
  </conditionalFormatting>
  <conditionalFormatting sqref="E113">
    <cfRule type="duplicateValues" dxfId="648" priority="336"/>
  </conditionalFormatting>
  <conditionalFormatting sqref="E115">
    <cfRule type="duplicateValues" dxfId="647" priority="335"/>
  </conditionalFormatting>
  <conditionalFormatting sqref="E116">
    <cfRule type="duplicateValues" dxfId="646" priority="334"/>
  </conditionalFormatting>
  <conditionalFormatting sqref="E151">
    <cfRule type="duplicateValues" dxfId="645" priority="333"/>
    <cfRule type="duplicateValues" dxfId="644" priority="332"/>
    <cfRule type="duplicateValues" dxfId="643" priority="331"/>
    <cfRule type="duplicateValues" dxfId="642" priority="330"/>
    <cfRule type="duplicateValues" dxfId="641" priority="329"/>
    <cfRule type="duplicateValues" dxfId="640" priority="328"/>
  </conditionalFormatting>
  <conditionalFormatting sqref="E159:E229 E2:E154">
    <cfRule type="duplicateValues" dxfId="639" priority="451"/>
  </conditionalFormatting>
  <conditionalFormatting sqref="E159:E230 E2:E154">
    <cfRule type="duplicateValues" dxfId="638" priority="543"/>
  </conditionalFormatting>
  <conditionalFormatting sqref="E177:E178">
    <cfRule type="duplicateValues" dxfId="637" priority="447"/>
    <cfRule type="duplicateValues" dxfId="636" priority="450"/>
    <cfRule type="duplicateValues" dxfId="635" priority="445"/>
    <cfRule type="duplicateValues" dxfId="634" priority="449"/>
    <cfRule type="duplicateValues" dxfId="633" priority="448"/>
    <cfRule type="duplicateValues" dxfId="632" priority="446"/>
  </conditionalFormatting>
  <conditionalFormatting sqref="E178:E179">
    <cfRule type="duplicateValues" dxfId="631" priority="327"/>
    <cfRule type="duplicateValues" dxfId="630" priority="326"/>
    <cfRule type="duplicateValues" dxfId="629" priority="325"/>
    <cfRule type="duplicateValues" dxfId="628" priority="324"/>
    <cfRule type="duplicateValues" dxfId="627" priority="323"/>
    <cfRule type="duplicateValues" dxfId="626" priority="322"/>
  </conditionalFormatting>
  <conditionalFormatting sqref="E183">
    <cfRule type="duplicateValues" dxfId="625" priority="311"/>
    <cfRule type="duplicateValues" dxfId="624" priority="310"/>
    <cfRule type="duplicateValues" dxfId="623" priority="312"/>
    <cfRule type="duplicateValues" dxfId="622" priority="313"/>
    <cfRule type="duplicateValues" dxfId="621" priority="314"/>
    <cfRule type="duplicateValues" dxfId="620" priority="315"/>
  </conditionalFormatting>
  <conditionalFormatting sqref="E183:E184">
    <cfRule type="duplicateValues" dxfId="619" priority="317"/>
    <cfRule type="duplicateValues" dxfId="618" priority="316"/>
    <cfRule type="duplicateValues" dxfId="617" priority="321"/>
    <cfRule type="duplicateValues" dxfId="616" priority="320"/>
    <cfRule type="duplicateValues" dxfId="615" priority="319"/>
    <cfRule type="duplicateValues" dxfId="614" priority="318"/>
  </conditionalFormatting>
  <conditionalFormatting sqref="E184">
    <cfRule type="duplicateValues" dxfId="613" priority="305"/>
    <cfRule type="duplicateValues" dxfId="612" priority="304"/>
    <cfRule type="duplicateValues" dxfId="611" priority="308"/>
    <cfRule type="duplicateValues" dxfId="610" priority="309"/>
    <cfRule type="duplicateValues" dxfId="609" priority="306"/>
    <cfRule type="duplicateValues" dxfId="608" priority="307"/>
  </conditionalFormatting>
  <conditionalFormatting sqref="E187">
    <cfRule type="duplicateValues" dxfId="607" priority="444"/>
  </conditionalFormatting>
  <conditionalFormatting sqref="E188:E193">
    <cfRule type="duplicateValues" dxfId="606" priority="443"/>
  </conditionalFormatting>
  <conditionalFormatting sqref="E191:E193">
    <cfRule type="duplicateValues" dxfId="605" priority="441"/>
    <cfRule type="duplicateValues" dxfId="604" priority="440"/>
    <cfRule type="duplicateValues" dxfId="603" priority="439"/>
    <cfRule type="duplicateValues" dxfId="602" priority="437"/>
    <cfRule type="duplicateValues" dxfId="601" priority="438"/>
    <cfRule type="duplicateValues" dxfId="600" priority="442"/>
  </conditionalFormatting>
  <conditionalFormatting sqref="E196">
    <cfRule type="duplicateValues" dxfId="599" priority="436"/>
  </conditionalFormatting>
  <conditionalFormatting sqref="E200">
    <cfRule type="duplicateValues" dxfId="598" priority="258"/>
    <cfRule type="duplicateValues" dxfId="597" priority="257"/>
    <cfRule type="duplicateValues" dxfId="596" priority="256"/>
    <cfRule type="duplicateValues" dxfId="595" priority="255"/>
    <cfRule type="duplicateValues" dxfId="594" priority="254"/>
    <cfRule type="duplicateValues" dxfId="593" priority="253"/>
  </conditionalFormatting>
  <conditionalFormatting sqref="E200:E207">
    <cfRule type="duplicateValues" dxfId="592" priority="533"/>
  </conditionalFormatting>
  <conditionalFormatting sqref="E201:E207">
    <cfRule type="duplicateValues" dxfId="591" priority="532"/>
  </conditionalFormatting>
  <conditionalFormatting sqref="E204:E211">
    <cfRule type="duplicateValues" dxfId="590" priority="252"/>
  </conditionalFormatting>
  <conditionalFormatting sqref="E206:E207">
    <cfRule type="duplicateValues" dxfId="589" priority="298"/>
    <cfRule type="duplicateValues" dxfId="588" priority="299"/>
    <cfRule type="duplicateValues" dxfId="587" priority="300"/>
    <cfRule type="duplicateValues" dxfId="586" priority="301"/>
    <cfRule type="duplicateValues" dxfId="585" priority="303"/>
    <cfRule type="duplicateValues" dxfId="584" priority="302"/>
  </conditionalFormatting>
  <conditionalFormatting sqref="E206:E211">
    <cfRule type="duplicateValues" dxfId="583" priority="246"/>
    <cfRule type="duplicateValues" dxfId="582" priority="251"/>
    <cfRule type="duplicateValues" dxfId="581" priority="250"/>
    <cfRule type="duplicateValues" dxfId="580" priority="249"/>
    <cfRule type="duplicateValues" dxfId="579" priority="248"/>
    <cfRule type="duplicateValues" dxfId="578" priority="247"/>
  </conditionalFormatting>
  <conditionalFormatting sqref="E207:E211">
    <cfRule type="duplicateValues" dxfId="577" priority="245"/>
  </conditionalFormatting>
  <conditionalFormatting sqref="E208:E230">
    <cfRule type="duplicateValues" dxfId="576" priority="541"/>
  </conditionalFormatting>
  <conditionalFormatting sqref="E214:E224">
    <cfRule type="duplicateValues" dxfId="575" priority="244"/>
  </conditionalFormatting>
  <conditionalFormatting sqref="E215:E224">
    <cfRule type="duplicateValues" dxfId="574" priority="243"/>
  </conditionalFormatting>
  <conditionalFormatting sqref="E216:E224">
    <cfRule type="duplicateValues" dxfId="573" priority="242"/>
  </conditionalFormatting>
  <conditionalFormatting sqref="E217:E224">
    <cfRule type="duplicateValues" dxfId="572" priority="241"/>
  </conditionalFormatting>
  <conditionalFormatting sqref="E218:E224">
    <cfRule type="duplicateValues" dxfId="571" priority="240"/>
    <cfRule type="duplicateValues" dxfId="570" priority="239"/>
    <cfRule type="duplicateValues" dxfId="569" priority="238"/>
    <cfRule type="duplicateValues" dxfId="568" priority="237"/>
    <cfRule type="duplicateValues" dxfId="567" priority="236"/>
    <cfRule type="duplicateValues" dxfId="566" priority="235"/>
  </conditionalFormatting>
  <conditionalFormatting sqref="E219:E220">
    <cfRule type="duplicateValues" dxfId="565" priority="294"/>
    <cfRule type="duplicateValues" dxfId="564" priority="293"/>
    <cfRule type="duplicateValues" dxfId="563" priority="297"/>
    <cfRule type="duplicateValues" dxfId="562" priority="292"/>
    <cfRule type="duplicateValues" dxfId="561" priority="295"/>
    <cfRule type="duplicateValues" dxfId="560" priority="296"/>
  </conditionalFormatting>
  <conditionalFormatting sqref="E222">
    <cfRule type="duplicateValues" dxfId="559" priority="228"/>
    <cfRule type="duplicateValues" dxfId="558" priority="226"/>
    <cfRule type="duplicateValues" dxfId="557" priority="225"/>
    <cfRule type="duplicateValues" dxfId="556" priority="224"/>
    <cfRule type="duplicateValues" dxfId="555" priority="223"/>
    <cfRule type="duplicateValues" dxfId="554" priority="227"/>
  </conditionalFormatting>
  <conditionalFormatting sqref="E222:E224">
    <cfRule type="duplicateValues" dxfId="553" priority="234"/>
    <cfRule type="duplicateValues" dxfId="552" priority="232"/>
    <cfRule type="duplicateValues" dxfId="551" priority="233"/>
    <cfRule type="duplicateValues" dxfId="550" priority="230"/>
    <cfRule type="duplicateValues" dxfId="549" priority="231"/>
    <cfRule type="duplicateValues" dxfId="548" priority="229"/>
  </conditionalFormatting>
  <conditionalFormatting sqref="E223">
    <cfRule type="duplicateValues" dxfId="547" priority="222"/>
    <cfRule type="duplicateValues" dxfId="546" priority="219"/>
    <cfRule type="duplicateValues" dxfId="545" priority="218"/>
    <cfRule type="duplicateValues" dxfId="544" priority="217"/>
    <cfRule type="duplicateValues" dxfId="543" priority="220"/>
    <cfRule type="duplicateValues" dxfId="542" priority="221"/>
  </conditionalFormatting>
  <conditionalFormatting sqref="E224">
    <cfRule type="duplicateValues" dxfId="541" priority="216"/>
  </conditionalFormatting>
  <conditionalFormatting sqref="E231">
    <cfRule type="duplicateValues" dxfId="540" priority="527"/>
    <cfRule type="duplicateValues" dxfId="539" priority="526"/>
    <cfRule type="duplicateValues" dxfId="538" priority="530"/>
    <cfRule type="duplicateValues" dxfId="537" priority="531"/>
    <cfRule type="duplicateValues" dxfId="536" priority="529"/>
    <cfRule type="duplicateValues" dxfId="535" priority="528"/>
  </conditionalFormatting>
  <conditionalFormatting sqref="E244:E267 E270:E276">
    <cfRule type="duplicateValues" dxfId="534" priority="206"/>
    <cfRule type="duplicateValues" dxfId="533" priority="207"/>
    <cfRule type="duplicateValues" dxfId="532" priority="208"/>
    <cfRule type="duplicateValues" dxfId="531" priority="205"/>
    <cfRule type="duplicateValues" dxfId="530" priority="204"/>
    <cfRule type="duplicateValues" dxfId="529" priority="203"/>
  </conditionalFormatting>
  <conditionalFormatting sqref="E245:E267 E270:E276">
    <cfRule type="duplicateValues" dxfId="528" priority="197"/>
    <cfRule type="duplicateValues" dxfId="527" priority="202"/>
    <cfRule type="duplicateValues" dxfId="526" priority="201"/>
    <cfRule type="duplicateValues" dxfId="525" priority="200"/>
    <cfRule type="duplicateValues" dxfId="524" priority="199"/>
    <cfRule type="duplicateValues" dxfId="523" priority="198"/>
  </conditionalFormatting>
  <conditionalFormatting sqref="E246:E267 E270:E276">
    <cfRule type="duplicateValues" dxfId="522" priority="196"/>
    <cfRule type="duplicateValues" dxfId="521" priority="195"/>
    <cfRule type="duplicateValues" dxfId="520" priority="194"/>
    <cfRule type="duplicateValues" dxfId="519" priority="193"/>
    <cfRule type="duplicateValues" dxfId="518" priority="192"/>
    <cfRule type="duplicateValues" dxfId="517" priority="191"/>
  </conditionalFormatting>
  <conditionalFormatting sqref="E247:E267 E270:E276">
    <cfRule type="duplicateValues" dxfId="516" priority="190"/>
    <cfRule type="duplicateValues" dxfId="515" priority="189"/>
    <cfRule type="duplicateValues" dxfId="514" priority="188"/>
    <cfRule type="duplicateValues" dxfId="513" priority="187"/>
    <cfRule type="duplicateValues" dxfId="512" priority="186"/>
    <cfRule type="duplicateValues" dxfId="511" priority="185"/>
  </conditionalFormatting>
  <conditionalFormatting sqref="E249:E267 E270:E276">
    <cfRule type="duplicateValues" dxfId="510" priority="181"/>
    <cfRule type="duplicateValues" dxfId="509" priority="180"/>
    <cfRule type="duplicateValues" dxfId="508" priority="179"/>
    <cfRule type="duplicateValues" dxfId="507" priority="184"/>
    <cfRule type="duplicateValues" dxfId="506" priority="183"/>
    <cfRule type="duplicateValues" dxfId="505" priority="182"/>
  </conditionalFormatting>
  <conditionalFormatting sqref="E250">
    <cfRule type="duplicateValues" dxfId="504" priority="215"/>
    <cfRule type="duplicateValues" dxfId="503" priority="214"/>
    <cfRule type="duplicateValues" dxfId="502" priority="213"/>
    <cfRule type="duplicateValues" dxfId="501" priority="212"/>
    <cfRule type="duplicateValues" dxfId="500" priority="210"/>
    <cfRule type="duplicateValues" dxfId="499" priority="211"/>
  </conditionalFormatting>
  <conditionalFormatting sqref="E250:E267 E270:E276">
    <cfRule type="duplicateValues" dxfId="498" priority="176"/>
    <cfRule type="duplicateValues" dxfId="497" priority="177"/>
    <cfRule type="duplicateValues" dxfId="496" priority="178"/>
    <cfRule type="duplicateValues" dxfId="495" priority="173"/>
    <cfRule type="duplicateValues" dxfId="494" priority="174"/>
    <cfRule type="duplicateValues" dxfId="493" priority="175"/>
  </conditionalFormatting>
  <conditionalFormatting sqref="E251:E267 E270:E276">
    <cfRule type="duplicateValues" dxfId="492" priority="168"/>
    <cfRule type="duplicateValues" dxfId="491" priority="167"/>
    <cfRule type="duplicateValues" dxfId="490" priority="169"/>
    <cfRule type="duplicateValues" dxfId="489" priority="170"/>
    <cfRule type="duplicateValues" dxfId="488" priority="171"/>
    <cfRule type="duplicateValues" dxfId="487" priority="172"/>
  </conditionalFormatting>
  <conditionalFormatting sqref="E252:E267 E270:E276">
    <cfRule type="duplicateValues" dxfId="486" priority="166"/>
    <cfRule type="duplicateValues" dxfId="485" priority="165"/>
    <cfRule type="duplicateValues" dxfId="484" priority="164"/>
    <cfRule type="duplicateValues" dxfId="483" priority="163"/>
    <cfRule type="duplicateValues" dxfId="482" priority="162"/>
    <cfRule type="duplicateValues" dxfId="481" priority="161"/>
  </conditionalFormatting>
  <conditionalFormatting sqref="E253">
    <cfRule type="duplicateValues" dxfId="480" priority="209"/>
  </conditionalFormatting>
  <conditionalFormatting sqref="E255:E267 E270:E276">
    <cfRule type="duplicateValues" dxfId="479" priority="160"/>
    <cfRule type="duplicateValues" dxfId="478" priority="159"/>
    <cfRule type="duplicateValues" dxfId="477" priority="158"/>
    <cfRule type="duplicateValues" dxfId="476" priority="157"/>
    <cfRule type="duplicateValues" dxfId="475" priority="156"/>
    <cfRule type="duplicateValues" dxfId="474" priority="155"/>
  </conditionalFormatting>
  <conditionalFormatting sqref="E257:E267 E270:E276">
    <cfRule type="duplicateValues" dxfId="473" priority="149"/>
    <cfRule type="duplicateValues" dxfId="472" priority="152"/>
    <cfRule type="duplicateValues" dxfId="471" priority="154"/>
    <cfRule type="duplicateValues" dxfId="470" priority="153"/>
    <cfRule type="duplicateValues" dxfId="469" priority="151"/>
    <cfRule type="duplicateValues" dxfId="468" priority="150"/>
  </conditionalFormatting>
  <conditionalFormatting sqref="E260:E267 E270:E276">
    <cfRule type="duplicateValues" dxfId="467" priority="148"/>
    <cfRule type="duplicateValues" dxfId="466" priority="147"/>
    <cfRule type="duplicateValues" dxfId="465" priority="146"/>
    <cfRule type="duplicateValues" dxfId="464" priority="145"/>
    <cfRule type="duplicateValues" dxfId="463" priority="144"/>
    <cfRule type="duplicateValues" dxfId="462" priority="143"/>
  </conditionalFormatting>
  <conditionalFormatting sqref="E263">
    <cfRule type="duplicateValues" dxfId="461" priority="142"/>
  </conditionalFormatting>
  <conditionalFormatting sqref="E264:E267 E270:E276">
    <cfRule type="duplicateValues" dxfId="460" priority="136"/>
    <cfRule type="duplicateValues" dxfId="459" priority="138"/>
    <cfRule type="duplicateValues" dxfId="458" priority="139"/>
    <cfRule type="duplicateValues" dxfId="457" priority="140"/>
    <cfRule type="duplicateValues" dxfId="456" priority="141"/>
    <cfRule type="duplicateValues" dxfId="455" priority="137"/>
  </conditionalFormatting>
  <conditionalFormatting sqref="E270">
    <cfRule type="duplicateValues" dxfId="454" priority="135"/>
  </conditionalFormatting>
  <conditionalFormatting sqref="E270:E271">
    <cfRule type="duplicateValues" dxfId="453" priority="133"/>
  </conditionalFormatting>
  <conditionalFormatting sqref="E271">
    <cfRule type="duplicateValues" dxfId="452" priority="134"/>
  </conditionalFormatting>
  <conditionalFormatting sqref="E272:E276">
    <cfRule type="duplicateValues" dxfId="451" priority="132"/>
  </conditionalFormatting>
  <conditionalFormatting sqref="E273:E276">
    <cfRule type="duplicateValues" dxfId="450" priority="126"/>
    <cfRule type="duplicateValues" dxfId="449" priority="127"/>
    <cfRule type="duplicateValues" dxfId="448" priority="128"/>
    <cfRule type="duplicateValues" dxfId="447" priority="129"/>
    <cfRule type="duplicateValues" dxfId="446" priority="130"/>
    <cfRule type="duplicateValues" dxfId="445" priority="131"/>
  </conditionalFormatting>
  <conditionalFormatting sqref="E274:E276">
    <cfRule type="duplicateValues" dxfId="444" priority="124"/>
    <cfRule type="duplicateValues" dxfId="443" priority="125"/>
    <cfRule type="duplicateValues" dxfId="442" priority="123"/>
    <cfRule type="duplicateValues" dxfId="441" priority="122"/>
    <cfRule type="duplicateValues" dxfId="440" priority="121"/>
    <cfRule type="duplicateValues" dxfId="439" priority="120"/>
  </conditionalFormatting>
  <conditionalFormatting sqref="E281">
    <cfRule type="duplicateValues" dxfId="438" priority="113"/>
    <cfRule type="duplicateValues" dxfId="437" priority="115"/>
    <cfRule type="duplicateValues" dxfId="436" priority="116"/>
    <cfRule type="duplicateValues" dxfId="435" priority="117"/>
    <cfRule type="duplicateValues" dxfId="434" priority="114"/>
    <cfRule type="duplicateValues" dxfId="433" priority="118"/>
  </conditionalFormatting>
  <conditionalFormatting sqref="E285:E287">
    <cfRule type="duplicateValues" dxfId="432" priority="109"/>
    <cfRule type="duplicateValues" dxfId="431" priority="110"/>
    <cfRule type="duplicateValues" dxfId="430" priority="111"/>
    <cfRule type="duplicateValues" dxfId="429" priority="108"/>
    <cfRule type="duplicateValues" dxfId="428" priority="106"/>
    <cfRule type="duplicateValues" dxfId="427" priority="107"/>
  </conditionalFormatting>
  <conditionalFormatting sqref="E291">
    <cfRule type="duplicateValues" dxfId="426" priority="104"/>
  </conditionalFormatting>
  <conditionalFormatting sqref="E295:E297">
    <cfRule type="duplicateValues" dxfId="425" priority="100"/>
    <cfRule type="duplicateValues" dxfId="424" priority="102"/>
  </conditionalFormatting>
  <conditionalFormatting sqref="E311">
    <cfRule type="duplicateValues" dxfId="423" priority="97"/>
  </conditionalFormatting>
  <conditionalFormatting sqref="E312">
    <cfRule type="duplicateValues" dxfId="422" priority="95"/>
  </conditionalFormatting>
  <conditionalFormatting sqref="E314">
    <cfRule type="duplicateValues" dxfId="421" priority="68"/>
    <cfRule type="duplicateValues" dxfId="420" priority="67"/>
    <cfRule type="duplicateValues" dxfId="419" priority="66"/>
    <cfRule type="duplicateValues" dxfId="418" priority="65"/>
    <cfRule type="duplicateValues" dxfId="417" priority="64"/>
    <cfRule type="duplicateValues" dxfId="416" priority="63"/>
    <cfRule type="duplicateValues" dxfId="415" priority="62"/>
    <cfRule type="duplicateValues" dxfId="414" priority="61"/>
    <cfRule type="duplicateValues" dxfId="413" priority="60"/>
    <cfRule type="duplicateValues" dxfId="412" priority="59"/>
    <cfRule type="duplicateValues" dxfId="411" priority="58"/>
    <cfRule type="duplicateValues" dxfId="410" priority="57"/>
    <cfRule type="duplicateValues" dxfId="409" priority="56"/>
    <cfRule type="duplicateValues" dxfId="408" priority="55"/>
    <cfRule type="duplicateValues" dxfId="407" priority="54"/>
    <cfRule type="duplicateValues" dxfId="406" priority="36"/>
    <cfRule type="duplicateValues" dxfId="405" priority="4"/>
    <cfRule type="duplicateValues" dxfId="404" priority="34"/>
    <cfRule type="duplicateValues" dxfId="403" priority="33"/>
    <cfRule type="duplicateValues" dxfId="402" priority="31"/>
    <cfRule type="duplicateValues" dxfId="401" priority="30"/>
    <cfRule type="duplicateValues" dxfId="400" priority="29"/>
    <cfRule type="duplicateValues" dxfId="399" priority="28"/>
    <cfRule type="duplicateValues" dxfId="398" priority="27"/>
    <cfRule type="duplicateValues" dxfId="397" priority="26"/>
    <cfRule type="duplicateValues" dxfId="396" priority="25"/>
    <cfRule type="duplicateValues" dxfId="395" priority="24"/>
    <cfRule type="duplicateValues" dxfId="394" priority="32"/>
    <cfRule type="duplicateValues" dxfId="393" priority="45"/>
    <cfRule type="duplicateValues" dxfId="392" priority="3"/>
    <cfRule type="duplicateValues" dxfId="391" priority="44"/>
    <cfRule type="duplicateValues" dxfId="390" priority="43"/>
    <cfRule type="duplicateValues" dxfId="389" priority="42"/>
    <cfRule type="duplicateValues" dxfId="388" priority="5"/>
    <cfRule type="duplicateValues" dxfId="387" priority="6"/>
    <cfRule type="duplicateValues" dxfId="386" priority="7"/>
    <cfRule type="duplicateValues" dxfId="385" priority="8"/>
    <cfRule type="duplicateValues" dxfId="384" priority="9"/>
    <cfRule type="duplicateValues" dxfId="383" priority="10"/>
    <cfRule type="duplicateValues" dxfId="382" priority="11"/>
    <cfRule type="duplicateValues" dxfId="381" priority="12"/>
    <cfRule type="duplicateValues" dxfId="380" priority="13"/>
    <cfRule type="duplicateValues" dxfId="379" priority="14"/>
    <cfRule type="duplicateValues" dxfId="378" priority="15"/>
    <cfRule type="duplicateValues" dxfId="377" priority="69"/>
    <cfRule type="duplicateValues" dxfId="376" priority="16"/>
    <cfRule type="duplicateValues" dxfId="375" priority="41"/>
    <cfRule type="duplicateValues" dxfId="374" priority="40"/>
    <cfRule type="duplicateValues" dxfId="373" priority="38"/>
    <cfRule type="duplicateValues" dxfId="372" priority="37"/>
    <cfRule type="duplicateValues" dxfId="371" priority="39"/>
    <cfRule type="duplicateValues" dxfId="370" priority="51"/>
    <cfRule type="duplicateValues" dxfId="369" priority="80"/>
    <cfRule type="duplicateValues" dxfId="368" priority="79"/>
    <cfRule type="duplicateValues" dxfId="367" priority="78"/>
    <cfRule type="duplicateValues" dxfId="366" priority="23"/>
    <cfRule type="duplicateValues" dxfId="365" priority="22"/>
    <cfRule type="duplicateValues" dxfId="364" priority="21"/>
    <cfRule type="duplicateValues" dxfId="363" priority="20"/>
    <cfRule type="duplicateValues" dxfId="362" priority="19"/>
    <cfRule type="duplicateValues" dxfId="361" priority="18"/>
    <cfRule type="duplicateValues" dxfId="360" priority="53"/>
    <cfRule type="duplicateValues" dxfId="359" priority="35"/>
    <cfRule type="duplicateValues" dxfId="358" priority="50"/>
    <cfRule type="duplicateValues" dxfId="357" priority="77"/>
    <cfRule type="duplicateValues" dxfId="356" priority="76"/>
    <cfRule type="duplicateValues" dxfId="355" priority="75"/>
    <cfRule type="duplicateValues" dxfId="354" priority="74"/>
    <cfRule type="duplicateValues" dxfId="353" priority="73"/>
    <cfRule type="duplicateValues" dxfId="352" priority="72"/>
    <cfRule type="duplicateValues" dxfId="351" priority="17"/>
    <cfRule type="duplicateValues" dxfId="350" priority="71"/>
    <cfRule type="duplicateValues" dxfId="349" priority="49"/>
    <cfRule type="duplicateValues" dxfId="348" priority="48"/>
    <cfRule type="duplicateValues" dxfId="347" priority="70"/>
    <cfRule type="duplicateValues" dxfId="346" priority="47"/>
    <cfRule type="duplicateValues" dxfId="345" priority="46"/>
    <cfRule type="duplicateValues" dxfId="344" priority="52"/>
  </conditionalFormatting>
  <pageMargins left="0.7" right="0.7" top="0.75" bottom="0.75" header="0.3" footer="0.3"/>
  <pageSetup paperSize="2833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2156-2AF9-4601-8C1A-C94B9F0D8707}">
  <dimension ref="A1:H414"/>
  <sheetViews>
    <sheetView tabSelected="1" zoomScale="85" zoomScaleNormal="85" workbookViewId="0">
      <selection activeCell="J16" sqref="J15:J16"/>
    </sheetView>
  </sheetViews>
  <sheetFormatPr defaultColWidth="6.1796875" defaultRowHeight="12.5"/>
  <cols>
    <col min="1" max="1" width="16.26953125" style="9" bestFit="1" customWidth="1"/>
    <col min="2" max="2" width="14.54296875" style="9" bestFit="1" customWidth="1"/>
    <col min="3" max="3" width="16.1796875" style="9" bestFit="1" customWidth="1"/>
    <col min="4" max="4" width="59" style="9" bestFit="1" customWidth="1"/>
    <col min="5" max="5" width="20.81640625" style="77" bestFit="1" customWidth="1"/>
    <col min="6" max="6" width="3.453125" style="9" bestFit="1" customWidth="1"/>
    <col min="7" max="7" width="4.453125" style="9" bestFit="1" customWidth="1"/>
    <col min="8" max="8" width="12.453125" style="9" bestFit="1" customWidth="1"/>
    <col min="9" max="16384" width="6.1796875" style="9"/>
  </cols>
  <sheetData>
    <row r="1" spans="1:8" s="4" customFormat="1" ht="29.15" customHeight="1">
      <c r="A1" s="96" t="s">
        <v>0</v>
      </c>
      <c r="B1" s="96" t="s">
        <v>1</v>
      </c>
      <c r="C1" s="97" t="s">
        <v>2</v>
      </c>
      <c r="D1" s="97" t="s">
        <v>3</v>
      </c>
      <c r="E1" s="98" t="s">
        <v>593</v>
      </c>
    </row>
    <row r="2" spans="1:8">
      <c r="A2" s="5" t="s">
        <v>6</v>
      </c>
      <c r="B2" s="5" t="s">
        <v>7</v>
      </c>
      <c r="C2" s="16">
        <v>100011</v>
      </c>
      <c r="D2" s="15" t="s">
        <v>594</v>
      </c>
      <c r="E2" s="8">
        <v>27</v>
      </c>
    </row>
    <row r="3" spans="1:8">
      <c r="A3" s="5" t="s">
        <v>6</v>
      </c>
      <c r="B3" s="5" t="s">
        <v>7</v>
      </c>
      <c r="C3" s="16">
        <v>100016</v>
      </c>
      <c r="D3" s="15" t="s">
        <v>8</v>
      </c>
      <c r="E3" s="8">
        <v>135</v>
      </c>
    </row>
    <row r="4" spans="1:8">
      <c r="A4" s="5" t="s">
        <v>6</v>
      </c>
      <c r="B4" s="5" t="s">
        <v>7</v>
      </c>
      <c r="C4" s="16">
        <v>100017</v>
      </c>
      <c r="D4" s="15" t="s">
        <v>595</v>
      </c>
      <c r="E4" s="101"/>
    </row>
    <row r="5" spans="1:8">
      <c r="A5" s="5" t="s">
        <v>6</v>
      </c>
      <c r="B5" s="5" t="s">
        <v>7</v>
      </c>
      <c r="C5" s="16">
        <v>100030</v>
      </c>
      <c r="D5" s="15" t="s">
        <v>168</v>
      </c>
      <c r="E5" s="8">
        <v>70</v>
      </c>
      <c r="F5" s="12"/>
      <c r="G5" s="12"/>
      <c r="H5" s="12"/>
    </row>
    <row r="6" spans="1:8">
      <c r="A6" s="5" t="s">
        <v>6</v>
      </c>
      <c r="B6" s="5" t="s">
        <v>7</v>
      </c>
      <c r="C6" s="16">
        <v>100031</v>
      </c>
      <c r="D6" s="15" t="s">
        <v>545</v>
      </c>
      <c r="E6" s="8">
        <v>85</v>
      </c>
      <c r="F6" s="12"/>
      <c r="G6" s="12"/>
      <c r="H6" s="12"/>
    </row>
    <row r="7" spans="1:8">
      <c r="A7" s="11" t="s">
        <v>6</v>
      </c>
      <c r="B7" s="11" t="s">
        <v>7</v>
      </c>
      <c r="C7" s="7">
        <v>100032</v>
      </c>
      <c r="D7" s="7" t="s">
        <v>9</v>
      </c>
      <c r="E7" s="101">
        <v>26</v>
      </c>
      <c r="F7" s="12"/>
      <c r="G7" s="12"/>
      <c r="H7" s="12"/>
    </row>
    <row r="8" spans="1:8">
      <c r="A8" s="11" t="s">
        <v>6</v>
      </c>
      <c r="B8" s="11" t="s">
        <v>7</v>
      </c>
      <c r="C8" s="7">
        <v>100033</v>
      </c>
      <c r="D8" s="7" t="s">
        <v>10</v>
      </c>
      <c r="E8" s="101">
        <v>59</v>
      </c>
      <c r="F8" s="12"/>
      <c r="G8" s="12"/>
      <c r="H8" s="12"/>
    </row>
    <row r="9" spans="1:8">
      <c r="A9" s="5" t="s">
        <v>6</v>
      </c>
      <c r="B9" s="5" t="s">
        <v>7</v>
      </c>
      <c r="C9" s="16">
        <v>100034</v>
      </c>
      <c r="D9" s="15" t="s">
        <v>165</v>
      </c>
      <c r="E9" s="101">
        <v>102</v>
      </c>
      <c r="F9" s="12"/>
      <c r="G9" s="12"/>
      <c r="H9" s="12"/>
    </row>
    <row r="10" spans="1:8">
      <c r="A10" s="5" t="s">
        <v>6</v>
      </c>
      <c r="B10" s="5" t="s">
        <v>7</v>
      </c>
      <c r="C10" s="16">
        <v>100035</v>
      </c>
      <c r="D10" s="15" t="s">
        <v>166</v>
      </c>
      <c r="E10" s="101">
        <v>111</v>
      </c>
      <c r="F10" s="12"/>
      <c r="G10" s="12"/>
      <c r="H10" s="12"/>
    </row>
    <row r="11" spans="1:8">
      <c r="A11" s="5" t="s">
        <v>6</v>
      </c>
      <c r="B11" s="5" t="s">
        <v>7</v>
      </c>
      <c r="C11" s="16">
        <v>100037</v>
      </c>
      <c r="D11" s="15" t="s">
        <v>167</v>
      </c>
      <c r="E11" s="8">
        <v>109</v>
      </c>
      <c r="F11" s="12"/>
      <c r="G11" s="12"/>
      <c r="H11" s="12"/>
    </row>
    <row r="12" spans="1:8">
      <c r="A12" s="11" t="s">
        <v>6</v>
      </c>
      <c r="B12" s="11" t="s">
        <v>7</v>
      </c>
      <c r="C12" s="309">
        <v>100041</v>
      </c>
      <c r="D12" s="310" t="s">
        <v>163</v>
      </c>
      <c r="E12" s="101">
        <v>41</v>
      </c>
      <c r="F12" s="12"/>
      <c r="G12" s="12"/>
      <c r="H12" s="12"/>
    </row>
    <row r="13" spans="1:8">
      <c r="A13" s="5" t="s">
        <v>6</v>
      </c>
      <c r="B13" s="5" t="s">
        <v>7</v>
      </c>
      <c r="C13" s="16">
        <v>100043</v>
      </c>
      <c r="D13" s="15" t="s">
        <v>162</v>
      </c>
      <c r="E13" s="101">
        <v>0</v>
      </c>
      <c r="F13" s="12"/>
      <c r="G13" s="12"/>
      <c r="H13" s="12"/>
    </row>
    <row r="14" spans="1:8">
      <c r="A14" s="5" t="s">
        <v>6</v>
      </c>
      <c r="B14" s="5" t="s">
        <v>7</v>
      </c>
      <c r="C14" s="16">
        <v>100048</v>
      </c>
      <c r="D14" s="15" t="s">
        <v>1283</v>
      </c>
      <c r="E14" s="8">
        <v>24</v>
      </c>
      <c r="F14" s="12"/>
      <c r="G14" s="12"/>
      <c r="H14" s="12"/>
    </row>
    <row r="15" spans="1:8">
      <c r="A15" s="11" t="s">
        <v>6</v>
      </c>
      <c r="B15" s="5" t="s">
        <v>7</v>
      </c>
      <c r="C15" s="16">
        <v>100050</v>
      </c>
      <c r="D15" s="15" t="s">
        <v>1284</v>
      </c>
      <c r="E15" s="101">
        <v>25</v>
      </c>
    </row>
    <row r="16" spans="1:8">
      <c r="A16" s="5" t="s">
        <v>6</v>
      </c>
      <c r="B16" s="5" t="s">
        <v>7</v>
      </c>
      <c r="C16" s="16">
        <v>100052</v>
      </c>
      <c r="D16" s="15" t="s">
        <v>1285</v>
      </c>
      <c r="E16" s="8">
        <v>24</v>
      </c>
    </row>
    <row r="17" spans="1:5">
      <c r="A17" s="5" t="s">
        <v>6</v>
      </c>
      <c r="B17" s="5" t="s">
        <v>7</v>
      </c>
      <c r="C17" s="16">
        <v>100078</v>
      </c>
      <c r="D17" s="15" t="s">
        <v>1286</v>
      </c>
      <c r="E17" s="8"/>
    </row>
    <row r="18" spans="1:5">
      <c r="A18" s="11" t="s">
        <v>6</v>
      </c>
      <c r="B18" s="11" t="s">
        <v>7</v>
      </c>
      <c r="C18" s="7">
        <v>100080</v>
      </c>
      <c r="D18" s="7" t="s">
        <v>17</v>
      </c>
      <c r="E18" s="8">
        <v>66</v>
      </c>
    </row>
    <row r="19" spans="1:5">
      <c r="A19" s="11" t="s">
        <v>6</v>
      </c>
      <c r="B19" s="11" t="s">
        <v>7</v>
      </c>
      <c r="C19" s="309">
        <v>100122</v>
      </c>
      <c r="D19" s="310" t="s">
        <v>443</v>
      </c>
      <c r="E19" s="101">
        <v>0</v>
      </c>
    </row>
    <row r="20" spans="1:5" s="18" customFormat="1">
      <c r="A20" s="5" t="s">
        <v>6</v>
      </c>
      <c r="B20" s="5" t="s">
        <v>7</v>
      </c>
      <c r="C20" s="16">
        <v>100126</v>
      </c>
      <c r="D20" s="15" t="s">
        <v>1287</v>
      </c>
      <c r="E20" s="101">
        <v>0</v>
      </c>
    </row>
    <row r="21" spans="1:5">
      <c r="A21" s="5" t="s">
        <v>6</v>
      </c>
      <c r="B21" s="5" t="s">
        <v>7</v>
      </c>
      <c r="C21" s="16">
        <v>100141</v>
      </c>
      <c r="D21" s="15" t="s">
        <v>601</v>
      </c>
      <c r="E21" s="8">
        <v>0</v>
      </c>
    </row>
    <row r="22" spans="1:5">
      <c r="A22" s="5" t="s">
        <v>6</v>
      </c>
      <c r="B22" s="5" t="s">
        <v>7</v>
      </c>
      <c r="C22" s="16">
        <v>100142</v>
      </c>
      <c r="D22" s="15" t="s">
        <v>256</v>
      </c>
      <c r="E22" s="8"/>
    </row>
    <row r="23" spans="1:5">
      <c r="A23" s="5" t="s">
        <v>6</v>
      </c>
      <c r="B23" s="5" t="s">
        <v>7</v>
      </c>
      <c r="C23" s="16">
        <v>100153</v>
      </c>
      <c r="D23" s="15" t="s">
        <v>1288</v>
      </c>
      <c r="E23" s="8">
        <v>0</v>
      </c>
    </row>
    <row r="24" spans="1:5">
      <c r="A24" s="5" t="s">
        <v>6</v>
      </c>
      <c r="B24" s="5" t="s">
        <v>7</v>
      </c>
      <c r="C24" s="16">
        <v>100205</v>
      </c>
      <c r="D24" s="15" t="s">
        <v>22</v>
      </c>
      <c r="E24" s="101">
        <v>0</v>
      </c>
    </row>
    <row r="25" spans="1:5">
      <c r="A25" s="5" t="s">
        <v>6</v>
      </c>
      <c r="B25" s="5" t="s">
        <v>7</v>
      </c>
      <c r="C25" s="16">
        <v>100207</v>
      </c>
      <c r="D25" s="15" t="s">
        <v>24</v>
      </c>
      <c r="E25" s="8">
        <v>23</v>
      </c>
    </row>
    <row r="26" spans="1:5">
      <c r="A26" s="5" t="s">
        <v>6</v>
      </c>
      <c r="B26" s="5" t="s">
        <v>7</v>
      </c>
      <c r="C26" s="16">
        <v>100208</v>
      </c>
      <c r="D26" s="15" t="s">
        <v>1289</v>
      </c>
      <c r="E26" s="8">
        <v>0</v>
      </c>
    </row>
    <row r="27" spans="1:5">
      <c r="A27" s="5" t="s">
        <v>6</v>
      </c>
      <c r="B27" s="5" t="s">
        <v>7</v>
      </c>
      <c r="C27" s="16">
        <v>100213</v>
      </c>
      <c r="D27" s="15" t="s">
        <v>587</v>
      </c>
      <c r="E27" s="101">
        <v>21</v>
      </c>
    </row>
    <row r="28" spans="1:5">
      <c r="A28" s="5" t="s">
        <v>6</v>
      </c>
      <c r="B28" s="5" t="s">
        <v>7</v>
      </c>
      <c r="C28" s="16">
        <v>100214</v>
      </c>
      <c r="D28" s="15" t="s">
        <v>264</v>
      </c>
      <c r="E28" s="8">
        <v>31</v>
      </c>
    </row>
    <row r="29" spans="1:5" ht="12.65" customHeight="1">
      <c r="A29" s="5" t="s">
        <v>6</v>
      </c>
      <c r="B29" s="5" t="s">
        <v>7</v>
      </c>
      <c r="C29" s="16">
        <v>100215</v>
      </c>
      <c r="D29" s="15" t="s">
        <v>1290</v>
      </c>
      <c r="E29" s="101">
        <v>20</v>
      </c>
    </row>
    <row r="30" spans="1:5" ht="12.65" customHeight="1">
      <c r="A30" s="5" t="s">
        <v>6</v>
      </c>
      <c r="B30" s="5" t="s">
        <v>7</v>
      </c>
      <c r="C30" s="16">
        <v>100216</v>
      </c>
      <c r="D30" s="15" t="s">
        <v>254</v>
      </c>
      <c r="E30" s="8">
        <v>18</v>
      </c>
    </row>
    <row r="31" spans="1:5" ht="12.65" customHeight="1">
      <c r="A31" s="5" t="s">
        <v>6</v>
      </c>
      <c r="B31" s="5" t="s">
        <v>7</v>
      </c>
      <c r="C31" s="16">
        <v>100217</v>
      </c>
      <c r="D31" s="15" t="s">
        <v>607</v>
      </c>
      <c r="E31" s="8">
        <v>0</v>
      </c>
    </row>
    <row r="32" spans="1:5" ht="12.65" customHeight="1">
      <c r="A32" s="5" t="s">
        <v>6</v>
      </c>
      <c r="B32" s="5" t="s">
        <v>7</v>
      </c>
      <c r="C32" s="16">
        <v>100223</v>
      </c>
      <c r="D32" s="15" t="s">
        <v>255</v>
      </c>
      <c r="E32" s="101">
        <v>1</v>
      </c>
    </row>
    <row r="33" spans="1:5">
      <c r="A33" s="5" t="s">
        <v>6</v>
      </c>
      <c r="B33" s="5" t="s">
        <v>7</v>
      </c>
      <c r="C33" s="16">
        <v>100224</v>
      </c>
      <c r="D33" s="15" t="s">
        <v>608</v>
      </c>
      <c r="E33" s="101">
        <v>0</v>
      </c>
    </row>
    <row r="34" spans="1:5">
      <c r="A34" s="5" t="s">
        <v>6</v>
      </c>
      <c r="B34" s="5" t="s">
        <v>7</v>
      </c>
      <c r="C34" s="16">
        <v>100226</v>
      </c>
      <c r="D34" s="15" t="s">
        <v>23</v>
      </c>
      <c r="E34" s="8">
        <v>29</v>
      </c>
    </row>
    <row r="35" spans="1:5">
      <c r="A35" s="11" t="s">
        <v>6</v>
      </c>
      <c r="B35" s="5" t="s">
        <v>7</v>
      </c>
      <c r="C35" s="311">
        <v>100302</v>
      </c>
      <c r="D35" s="312" t="s">
        <v>1291</v>
      </c>
      <c r="E35" s="101">
        <v>0</v>
      </c>
    </row>
    <row r="36" spans="1:5">
      <c r="A36" s="11" t="s">
        <v>25</v>
      </c>
      <c r="B36" s="5" t="s">
        <v>7</v>
      </c>
      <c r="C36" s="16">
        <v>100903</v>
      </c>
      <c r="D36" s="15" t="s">
        <v>1292</v>
      </c>
      <c r="E36" s="101">
        <v>0</v>
      </c>
    </row>
    <row r="37" spans="1:5">
      <c r="A37" s="11" t="s">
        <v>25</v>
      </c>
      <c r="B37" s="5" t="s">
        <v>7</v>
      </c>
      <c r="C37" s="16">
        <v>200000</v>
      </c>
      <c r="D37" s="15" t="s">
        <v>609</v>
      </c>
      <c r="E37" s="8">
        <v>0</v>
      </c>
    </row>
    <row r="38" spans="1:5">
      <c r="A38" s="11" t="s">
        <v>25</v>
      </c>
      <c r="B38" s="11" t="s">
        <v>7</v>
      </c>
      <c r="C38" s="24">
        <v>200003</v>
      </c>
      <c r="D38" s="40" t="s">
        <v>543</v>
      </c>
      <c r="E38" s="101"/>
    </row>
    <row r="39" spans="1:5">
      <c r="A39" s="11" t="s">
        <v>25</v>
      </c>
      <c r="B39" s="5" t="s">
        <v>7</v>
      </c>
      <c r="C39" s="16">
        <v>200004</v>
      </c>
      <c r="D39" s="15" t="s">
        <v>328</v>
      </c>
      <c r="E39" s="101"/>
    </row>
    <row r="40" spans="1:5">
      <c r="A40" s="11" t="s">
        <v>25</v>
      </c>
      <c r="B40" s="5" t="s">
        <v>7</v>
      </c>
      <c r="C40" s="16">
        <v>200011</v>
      </c>
      <c r="D40" s="15" t="s">
        <v>319</v>
      </c>
      <c r="E40" s="101">
        <v>0</v>
      </c>
    </row>
    <row r="41" spans="1:5">
      <c r="A41" s="11" t="s">
        <v>25</v>
      </c>
      <c r="B41" s="5" t="s">
        <v>7</v>
      </c>
      <c r="C41" s="16">
        <v>200015</v>
      </c>
      <c r="D41" s="15" t="s">
        <v>429</v>
      </c>
      <c r="E41" s="8">
        <v>0</v>
      </c>
    </row>
    <row r="42" spans="1:5">
      <c r="A42" s="11" t="s">
        <v>25</v>
      </c>
      <c r="B42" s="5" t="s">
        <v>7</v>
      </c>
      <c r="C42" s="16">
        <v>200016</v>
      </c>
      <c r="D42" s="15" t="s">
        <v>422</v>
      </c>
      <c r="E42" s="101">
        <v>0</v>
      </c>
    </row>
    <row r="43" spans="1:5" ht="12.65" customHeight="1">
      <c r="A43" s="11" t="s">
        <v>25</v>
      </c>
      <c r="B43" s="5" t="s">
        <v>7</v>
      </c>
      <c r="C43" s="16">
        <v>200018</v>
      </c>
      <c r="D43" s="15" t="s">
        <v>421</v>
      </c>
      <c r="E43" s="101">
        <v>0</v>
      </c>
    </row>
    <row r="44" spans="1:5">
      <c r="A44" s="11" t="s">
        <v>25</v>
      </c>
      <c r="B44" s="5" t="s">
        <v>7</v>
      </c>
      <c r="C44" s="16">
        <v>200019</v>
      </c>
      <c r="D44" s="15" t="s">
        <v>611</v>
      </c>
      <c r="E44" s="101">
        <v>0</v>
      </c>
    </row>
    <row r="45" spans="1:5">
      <c r="A45" s="11" t="s">
        <v>25</v>
      </c>
      <c r="B45" s="5" t="s">
        <v>7</v>
      </c>
      <c r="C45" s="16">
        <v>200024</v>
      </c>
      <c r="D45" s="15" t="s">
        <v>315</v>
      </c>
      <c r="E45" s="8">
        <v>0</v>
      </c>
    </row>
    <row r="46" spans="1:5" ht="12.65" customHeight="1">
      <c r="A46" s="11" t="s">
        <v>25</v>
      </c>
      <c r="B46" s="5" t="s">
        <v>7</v>
      </c>
      <c r="C46" s="16">
        <v>200031</v>
      </c>
      <c r="D46" s="15" t="s">
        <v>265</v>
      </c>
      <c r="E46" s="101">
        <v>0</v>
      </c>
    </row>
    <row r="47" spans="1:5">
      <c r="A47" s="5" t="s">
        <v>25</v>
      </c>
      <c r="B47" s="5" t="s">
        <v>7</v>
      </c>
      <c r="C47" s="313">
        <v>200033</v>
      </c>
      <c r="D47" s="314" t="s">
        <v>247</v>
      </c>
      <c r="E47" s="8">
        <v>0</v>
      </c>
    </row>
    <row r="48" spans="1:5" s="18" customFormat="1" ht="12.65" customHeight="1">
      <c r="A48" s="5" t="s">
        <v>25</v>
      </c>
      <c r="B48" s="5" t="s">
        <v>7</v>
      </c>
      <c r="C48" s="313">
        <v>200034</v>
      </c>
      <c r="D48" s="314" t="s">
        <v>252</v>
      </c>
      <c r="E48" s="8">
        <v>0</v>
      </c>
    </row>
    <row r="49" spans="1:5" s="18" customFormat="1">
      <c r="A49" s="11" t="s">
        <v>25</v>
      </c>
      <c r="B49" s="5" t="s">
        <v>7</v>
      </c>
      <c r="C49" s="16">
        <v>200047</v>
      </c>
      <c r="D49" s="15" t="s">
        <v>425</v>
      </c>
      <c r="E49" s="101">
        <v>0</v>
      </c>
    </row>
    <row r="50" spans="1:5" s="18" customFormat="1">
      <c r="A50" s="11" t="s">
        <v>25</v>
      </c>
      <c r="B50" s="5" t="s">
        <v>7</v>
      </c>
      <c r="C50" s="16">
        <v>200048</v>
      </c>
      <c r="D50" s="15" t="s">
        <v>426</v>
      </c>
      <c r="E50" s="101">
        <v>0</v>
      </c>
    </row>
    <row r="51" spans="1:5" s="18" customFormat="1">
      <c r="A51" s="11" t="s">
        <v>25</v>
      </c>
      <c r="B51" s="5" t="s">
        <v>7</v>
      </c>
      <c r="C51" s="16">
        <v>200071</v>
      </c>
      <c r="D51" s="15" t="s">
        <v>430</v>
      </c>
      <c r="E51" s="8">
        <v>0</v>
      </c>
    </row>
    <row r="52" spans="1:5" s="18" customFormat="1">
      <c r="A52" s="11" t="s">
        <v>25</v>
      </c>
      <c r="B52" s="5" t="s">
        <v>7</v>
      </c>
      <c r="C52" s="16">
        <v>200078</v>
      </c>
      <c r="D52" s="15" t="s">
        <v>612</v>
      </c>
      <c r="E52" s="8">
        <v>0</v>
      </c>
    </row>
    <row r="53" spans="1:5" s="18" customFormat="1">
      <c r="A53" s="11" t="s">
        <v>25</v>
      </c>
      <c r="B53" s="5" t="s">
        <v>7</v>
      </c>
      <c r="C53" s="16">
        <v>200079</v>
      </c>
      <c r="D53" s="15" t="s">
        <v>332</v>
      </c>
      <c r="E53" s="101">
        <v>0</v>
      </c>
    </row>
    <row r="54" spans="1:5" s="18" customFormat="1">
      <c r="A54" s="11" t="s">
        <v>25</v>
      </c>
      <c r="B54" s="5" t="s">
        <v>7</v>
      </c>
      <c r="C54" s="16">
        <v>200080</v>
      </c>
      <c r="D54" s="15" t="s">
        <v>1293</v>
      </c>
      <c r="E54" s="101">
        <v>0</v>
      </c>
    </row>
    <row r="55" spans="1:5" s="18" customFormat="1">
      <c r="A55" s="11" t="s">
        <v>25</v>
      </c>
      <c r="B55" s="5" t="s">
        <v>7</v>
      </c>
      <c r="C55" s="16">
        <v>200081</v>
      </c>
      <c r="D55" s="15" t="s">
        <v>320</v>
      </c>
      <c r="E55" s="101">
        <v>0</v>
      </c>
    </row>
    <row r="56" spans="1:5" s="18" customFormat="1">
      <c r="A56" s="11" t="s">
        <v>25</v>
      </c>
      <c r="B56" s="5" t="s">
        <v>7</v>
      </c>
      <c r="C56" s="16">
        <v>200082</v>
      </c>
      <c r="D56" s="15" t="s">
        <v>450</v>
      </c>
      <c r="E56" s="8">
        <v>0</v>
      </c>
    </row>
    <row r="57" spans="1:5" s="18" customFormat="1">
      <c r="A57" s="11" t="s">
        <v>25</v>
      </c>
      <c r="B57" s="5" t="s">
        <v>7</v>
      </c>
      <c r="C57" s="16">
        <v>200086</v>
      </c>
      <c r="D57" s="15" t="s">
        <v>317</v>
      </c>
      <c r="E57" s="8">
        <v>0</v>
      </c>
    </row>
    <row r="58" spans="1:5" s="18" customFormat="1">
      <c r="A58" s="11" t="s">
        <v>25</v>
      </c>
      <c r="B58" s="5" t="s">
        <v>7</v>
      </c>
      <c r="C58" s="16">
        <v>200099</v>
      </c>
      <c r="D58" s="15" t="s">
        <v>427</v>
      </c>
      <c r="E58" s="8">
        <v>2</v>
      </c>
    </row>
    <row r="59" spans="1:5" s="18" customFormat="1">
      <c r="A59" s="11" t="s">
        <v>25</v>
      </c>
      <c r="B59" s="5" t="s">
        <v>7</v>
      </c>
      <c r="C59" s="16">
        <v>200112</v>
      </c>
      <c r="D59" s="15" t="s">
        <v>736</v>
      </c>
      <c r="E59" s="101">
        <v>0</v>
      </c>
    </row>
    <row r="60" spans="1:5" s="18" customFormat="1">
      <c r="A60" s="11" t="s">
        <v>25</v>
      </c>
      <c r="B60" s="5" t="s">
        <v>7</v>
      </c>
      <c r="C60" s="16">
        <v>200114</v>
      </c>
      <c r="D60" s="15" t="s">
        <v>737</v>
      </c>
      <c r="E60" s="101">
        <v>0</v>
      </c>
    </row>
    <row r="61" spans="1:5" s="18" customFormat="1">
      <c r="A61" s="11" t="s">
        <v>25</v>
      </c>
      <c r="B61" s="5" t="s">
        <v>7</v>
      </c>
      <c r="C61" s="16">
        <v>200116</v>
      </c>
      <c r="D61" s="15" t="s">
        <v>428</v>
      </c>
      <c r="E61" s="8">
        <v>2</v>
      </c>
    </row>
    <row r="62" spans="1:5" s="18" customFormat="1">
      <c r="A62" s="11" t="s">
        <v>25</v>
      </c>
      <c r="B62" s="11" t="s">
        <v>7</v>
      </c>
      <c r="C62" s="7">
        <v>200119</v>
      </c>
      <c r="D62" s="15" t="s">
        <v>1294</v>
      </c>
      <c r="E62" s="101">
        <v>0</v>
      </c>
    </row>
    <row r="63" spans="1:5" s="18" customFormat="1">
      <c r="A63" s="11" t="s">
        <v>25</v>
      </c>
      <c r="B63" s="11" t="s">
        <v>7</v>
      </c>
      <c r="C63" s="24">
        <v>200201</v>
      </c>
      <c r="D63" s="40" t="s">
        <v>775</v>
      </c>
      <c r="E63" s="101">
        <v>0</v>
      </c>
    </row>
    <row r="64" spans="1:5" s="18" customFormat="1">
      <c r="A64" s="11" t="s">
        <v>25</v>
      </c>
      <c r="B64" s="5" t="s">
        <v>7</v>
      </c>
      <c r="C64" s="16">
        <v>200205</v>
      </c>
      <c r="D64" s="15" t="s">
        <v>614</v>
      </c>
      <c r="E64" s="101">
        <v>0</v>
      </c>
    </row>
    <row r="65" spans="1:5" s="18" customFormat="1">
      <c r="A65" s="11" t="s">
        <v>25</v>
      </c>
      <c r="B65" s="5" t="s">
        <v>7</v>
      </c>
      <c r="C65" s="16">
        <v>200213</v>
      </c>
      <c r="D65" s="15" t="s">
        <v>1295</v>
      </c>
      <c r="E65" s="101">
        <v>0</v>
      </c>
    </row>
    <row r="66" spans="1:5" s="18" customFormat="1">
      <c r="A66" s="11" t="s">
        <v>25</v>
      </c>
      <c r="B66" s="5" t="s">
        <v>7</v>
      </c>
      <c r="C66" s="16">
        <v>200216</v>
      </c>
      <c r="D66" s="15" t="s">
        <v>616</v>
      </c>
      <c r="E66" s="8">
        <v>0</v>
      </c>
    </row>
    <row r="67" spans="1:5" s="18" customFormat="1">
      <c r="A67" s="11" t="s">
        <v>25</v>
      </c>
      <c r="B67" s="5" t="s">
        <v>7</v>
      </c>
      <c r="C67" s="16">
        <v>200220</v>
      </c>
      <c r="D67" s="15" t="s">
        <v>617</v>
      </c>
      <c r="E67" s="8">
        <v>0</v>
      </c>
    </row>
    <row r="68" spans="1:5" s="18" customFormat="1">
      <c r="A68" s="11" t="s">
        <v>25</v>
      </c>
      <c r="B68" s="5" t="s">
        <v>7</v>
      </c>
      <c r="C68" s="16">
        <v>200223</v>
      </c>
      <c r="D68" s="15" t="s">
        <v>618</v>
      </c>
      <c r="E68" s="101">
        <v>0</v>
      </c>
    </row>
    <row r="69" spans="1:5" s="18" customFormat="1">
      <c r="A69" s="11" t="s">
        <v>25</v>
      </c>
      <c r="B69" s="5" t="s">
        <v>7</v>
      </c>
      <c r="C69" s="16">
        <v>200224</v>
      </c>
      <c r="D69" s="15" t="s">
        <v>619</v>
      </c>
      <c r="E69" s="101">
        <v>0</v>
      </c>
    </row>
    <row r="70" spans="1:5" s="18" customFormat="1">
      <c r="A70" s="11" t="s">
        <v>25</v>
      </c>
      <c r="B70" s="5" t="s">
        <v>7</v>
      </c>
      <c r="C70" s="16">
        <v>200234</v>
      </c>
      <c r="D70" s="15" t="s">
        <v>620</v>
      </c>
      <c r="E70" s="101">
        <v>0</v>
      </c>
    </row>
    <row r="71" spans="1:5" s="18" customFormat="1">
      <c r="A71" s="11" t="s">
        <v>25</v>
      </c>
      <c r="B71" s="5" t="s">
        <v>7</v>
      </c>
      <c r="C71" s="16">
        <v>200235</v>
      </c>
      <c r="D71" s="15" t="s">
        <v>119</v>
      </c>
      <c r="E71" s="101">
        <v>0</v>
      </c>
    </row>
    <row r="72" spans="1:5" s="18" customFormat="1">
      <c r="A72" s="11" t="s">
        <v>25</v>
      </c>
      <c r="B72" s="5" t="s">
        <v>7</v>
      </c>
      <c r="C72" s="16">
        <v>200236</v>
      </c>
      <c r="D72" s="15" t="s">
        <v>1296</v>
      </c>
      <c r="E72" s="101">
        <v>0</v>
      </c>
    </row>
    <row r="73" spans="1:5" s="18" customFormat="1">
      <c r="A73" s="11" t="s">
        <v>25</v>
      </c>
      <c r="B73" s="5" t="s">
        <v>7</v>
      </c>
      <c r="C73" s="16">
        <v>200251</v>
      </c>
      <c r="D73" s="15" t="s">
        <v>1297</v>
      </c>
      <c r="E73" s="101">
        <v>0</v>
      </c>
    </row>
    <row r="74" spans="1:5" s="18" customFormat="1">
      <c r="A74" s="11" t="s">
        <v>25</v>
      </c>
      <c r="B74" s="5" t="s">
        <v>7</v>
      </c>
      <c r="C74" s="16">
        <v>200254</v>
      </c>
      <c r="D74" s="15" t="s">
        <v>1298</v>
      </c>
      <c r="E74" s="101">
        <v>0</v>
      </c>
    </row>
    <row r="75" spans="1:5" s="18" customFormat="1">
      <c r="A75" s="11" t="s">
        <v>25</v>
      </c>
      <c r="B75" s="5" t="s">
        <v>7</v>
      </c>
      <c r="C75" s="16">
        <v>200259</v>
      </c>
      <c r="D75" s="15" t="s">
        <v>495</v>
      </c>
      <c r="E75" s="101">
        <v>0</v>
      </c>
    </row>
    <row r="76" spans="1:5" s="18" customFormat="1">
      <c r="A76" s="11" t="s">
        <v>25</v>
      </c>
      <c r="B76" s="5" t="s">
        <v>7</v>
      </c>
      <c r="C76" s="16">
        <v>200262</v>
      </c>
      <c r="D76" s="15" t="s">
        <v>738</v>
      </c>
      <c r="E76" s="101">
        <v>0</v>
      </c>
    </row>
    <row r="77" spans="1:5" s="18" customFormat="1">
      <c r="A77" s="11" t="s">
        <v>25</v>
      </c>
      <c r="B77" s="5" t="s">
        <v>7</v>
      </c>
      <c r="C77" s="16">
        <v>200266</v>
      </c>
      <c r="D77" s="15" t="s">
        <v>330</v>
      </c>
      <c r="E77" s="101">
        <v>0</v>
      </c>
    </row>
    <row r="78" spans="1:5" s="18" customFormat="1">
      <c r="A78" s="11" t="s">
        <v>25</v>
      </c>
      <c r="B78" s="5" t="s">
        <v>7</v>
      </c>
      <c r="C78" s="16">
        <v>200272</v>
      </c>
      <c r="D78" s="15" t="s">
        <v>1299</v>
      </c>
      <c r="E78" s="8">
        <v>0</v>
      </c>
    </row>
    <row r="79" spans="1:5" s="18" customFormat="1">
      <c r="A79" s="11" t="s">
        <v>25</v>
      </c>
      <c r="B79" s="5" t="s">
        <v>7</v>
      </c>
      <c r="C79" s="16">
        <v>200289</v>
      </c>
      <c r="D79" s="15" t="s">
        <v>556</v>
      </c>
      <c r="E79" s="8">
        <v>0</v>
      </c>
    </row>
    <row r="80" spans="1:5" s="18" customFormat="1">
      <c r="A80" s="11" t="s">
        <v>25</v>
      </c>
      <c r="B80" s="5" t="s">
        <v>7</v>
      </c>
      <c r="C80" s="16">
        <v>200290</v>
      </c>
      <c r="D80" s="15" t="s">
        <v>557</v>
      </c>
      <c r="E80" s="101">
        <v>0</v>
      </c>
    </row>
    <row r="81" spans="1:5" s="18" customFormat="1">
      <c r="A81" s="11" t="s">
        <v>25</v>
      </c>
      <c r="B81" s="5" t="s">
        <v>7</v>
      </c>
      <c r="C81" s="16">
        <v>200291</v>
      </c>
      <c r="D81" s="19" t="s">
        <v>621</v>
      </c>
      <c r="E81" s="8">
        <v>0</v>
      </c>
    </row>
    <row r="82" spans="1:5" s="18" customFormat="1">
      <c r="A82" s="11" t="s">
        <v>25</v>
      </c>
      <c r="B82" s="5" t="s">
        <v>7</v>
      </c>
      <c r="C82" s="16">
        <v>200292</v>
      </c>
      <c r="D82" s="15" t="s">
        <v>183</v>
      </c>
      <c r="E82" s="101">
        <v>0</v>
      </c>
    </row>
    <row r="83" spans="1:5" s="18" customFormat="1">
      <c r="A83" s="11" t="s">
        <v>25</v>
      </c>
      <c r="B83" s="5" t="s">
        <v>7</v>
      </c>
      <c r="C83" s="16">
        <v>200310</v>
      </c>
      <c r="D83" s="15" t="s">
        <v>316</v>
      </c>
      <c r="E83" s="101">
        <v>0</v>
      </c>
    </row>
    <row r="84" spans="1:5" s="18" customFormat="1">
      <c r="A84" s="11" t="s">
        <v>25</v>
      </c>
      <c r="B84" s="5" t="s">
        <v>7</v>
      </c>
      <c r="C84" s="16">
        <v>200324</v>
      </c>
      <c r="D84" s="15" t="s">
        <v>624</v>
      </c>
      <c r="E84" s="101">
        <v>0</v>
      </c>
    </row>
    <row r="85" spans="1:5" s="18" customFormat="1">
      <c r="A85" s="11" t="s">
        <v>25</v>
      </c>
      <c r="B85" s="5" t="s">
        <v>7</v>
      </c>
      <c r="C85" s="16">
        <v>200332</v>
      </c>
      <c r="D85" s="15" t="s">
        <v>625</v>
      </c>
      <c r="E85" s="8">
        <v>0</v>
      </c>
    </row>
    <row r="86" spans="1:5" s="18" customFormat="1">
      <c r="A86" s="11" t="s">
        <v>25</v>
      </c>
      <c r="B86" s="5" t="s">
        <v>7</v>
      </c>
      <c r="C86" s="16">
        <v>200333</v>
      </c>
      <c r="D86" s="15" t="s">
        <v>335</v>
      </c>
      <c r="E86" s="101">
        <v>0</v>
      </c>
    </row>
    <row r="87" spans="1:5" s="18" customFormat="1" ht="12.65" customHeight="1">
      <c r="A87" s="11" t="s">
        <v>25</v>
      </c>
      <c r="B87" s="5" t="s">
        <v>7</v>
      </c>
      <c r="C87" s="16">
        <v>200336</v>
      </c>
      <c r="D87" s="15" t="s">
        <v>333</v>
      </c>
      <c r="E87" s="8">
        <v>0</v>
      </c>
    </row>
    <row r="88" spans="1:5" s="18" customFormat="1">
      <c r="A88" s="11" t="s">
        <v>25</v>
      </c>
      <c r="B88" s="5" t="s">
        <v>7</v>
      </c>
      <c r="C88" s="16">
        <v>200354</v>
      </c>
      <c r="D88" s="15" t="s">
        <v>1300</v>
      </c>
      <c r="E88" s="101">
        <v>0</v>
      </c>
    </row>
    <row r="89" spans="1:5" s="18" customFormat="1">
      <c r="A89" s="11" t="s">
        <v>25</v>
      </c>
      <c r="B89" s="5" t="s">
        <v>7</v>
      </c>
      <c r="C89" s="16">
        <v>200367</v>
      </c>
      <c r="D89" s="15" t="s">
        <v>1301</v>
      </c>
      <c r="E89" s="101">
        <v>43</v>
      </c>
    </row>
    <row r="90" spans="1:5" s="18" customFormat="1">
      <c r="A90" s="11" t="s">
        <v>25</v>
      </c>
      <c r="B90" s="5" t="s">
        <v>7</v>
      </c>
      <c r="C90" s="16">
        <v>200381</v>
      </c>
      <c r="D90" s="15" t="s">
        <v>628</v>
      </c>
      <c r="E90" s="101">
        <v>0</v>
      </c>
    </row>
    <row r="91" spans="1:5" s="18" customFormat="1" ht="12.65" customHeight="1">
      <c r="A91" s="5" t="s">
        <v>25</v>
      </c>
      <c r="B91" s="5" t="s">
        <v>7</v>
      </c>
      <c r="C91" s="79">
        <v>200383</v>
      </c>
      <c r="D91" s="79" t="s">
        <v>566</v>
      </c>
      <c r="E91" s="8">
        <v>0</v>
      </c>
    </row>
    <row r="92" spans="1:5" s="18" customFormat="1">
      <c r="A92" s="11" t="s">
        <v>25</v>
      </c>
      <c r="B92" s="5" t="s">
        <v>7</v>
      </c>
      <c r="C92" s="16">
        <v>200387</v>
      </c>
      <c r="D92" s="15" t="s">
        <v>631</v>
      </c>
      <c r="E92" s="8">
        <v>0</v>
      </c>
    </row>
    <row r="93" spans="1:5" s="18" customFormat="1">
      <c r="A93" s="11" t="s">
        <v>25</v>
      </c>
      <c r="B93" s="5" t="s">
        <v>7</v>
      </c>
      <c r="C93" s="16">
        <v>200388</v>
      </c>
      <c r="D93" s="15" t="s">
        <v>1302</v>
      </c>
      <c r="E93" s="8">
        <v>0</v>
      </c>
    </row>
    <row r="94" spans="1:5" s="18" customFormat="1">
      <c r="A94" s="11" t="s">
        <v>25</v>
      </c>
      <c r="B94" s="5" t="s">
        <v>7</v>
      </c>
      <c r="C94" s="16">
        <v>200389</v>
      </c>
      <c r="D94" s="15" t="s">
        <v>632</v>
      </c>
      <c r="E94" s="101">
        <v>0</v>
      </c>
    </row>
    <row r="95" spans="1:5" s="18" customFormat="1">
      <c r="A95" s="11" t="s">
        <v>25</v>
      </c>
      <c r="B95" s="5" t="s">
        <v>7</v>
      </c>
      <c r="C95" s="16">
        <v>200391</v>
      </c>
      <c r="D95" s="15" t="s">
        <v>1303</v>
      </c>
      <c r="E95" s="101">
        <v>0</v>
      </c>
    </row>
    <row r="96" spans="1:5" s="18" customFormat="1">
      <c r="A96" s="11" t="s">
        <v>25</v>
      </c>
      <c r="B96" s="5" t="s">
        <v>7</v>
      </c>
      <c r="C96" s="16">
        <v>200396</v>
      </c>
      <c r="D96" s="15" t="s">
        <v>318</v>
      </c>
      <c r="E96" s="101">
        <v>58</v>
      </c>
    </row>
    <row r="97" spans="1:5" s="18" customFormat="1">
      <c r="A97" s="11" t="s">
        <v>25</v>
      </c>
      <c r="B97" s="5" t="s">
        <v>7</v>
      </c>
      <c r="C97" s="16">
        <v>200397</v>
      </c>
      <c r="D97" s="15" t="s">
        <v>634</v>
      </c>
      <c r="E97" s="101">
        <v>0</v>
      </c>
    </row>
    <row r="98" spans="1:5" s="18" customFormat="1">
      <c r="A98" s="11" t="s">
        <v>25</v>
      </c>
      <c r="B98" s="5" t="s">
        <v>7</v>
      </c>
      <c r="C98" s="16">
        <v>200398</v>
      </c>
      <c r="D98" s="15" t="s">
        <v>191</v>
      </c>
      <c r="E98" s="101">
        <v>0</v>
      </c>
    </row>
    <row r="99" spans="1:5" s="18" customFormat="1">
      <c r="A99" s="11" t="s">
        <v>25</v>
      </c>
      <c r="B99" s="5" t="s">
        <v>7</v>
      </c>
      <c r="C99" s="16">
        <v>200400</v>
      </c>
      <c r="D99" s="15" t="s">
        <v>635</v>
      </c>
      <c r="E99" s="101">
        <v>0</v>
      </c>
    </row>
    <row r="100" spans="1:5" s="18" customFormat="1">
      <c r="A100" s="11" t="s">
        <v>25</v>
      </c>
      <c r="B100" s="5" t="s">
        <v>7</v>
      </c>
      <c r="C100" s="16">
        <v>200406</v>
      </c>
      <c r="D100" s="15" t="s">
        <v>636</v>
      </c>
      <c r="E100" s="101">
        <v>0</v>
      </c>
    </row>
    <row r="101" spans="1:5" s="18" customFormat="1">
      <c r="A101" s="11" t="s">
        <v>25</v>
      </c>
      <c r="B101" s="5" t="s">
        <v>7</v>
      </c>
      <c r="C101" s="16">
        <v>200408</v>
      </c>
      <c r="D101" s="15" t="s">
        <v>637</v>
      </c>
      <c r="E101" s="101">
        <v>0</v>
      </c>
    </row>
    <row r="102" spans="1:5" s="18" customFormat="1">
      <c r="A102" s="11" t="s">
        <v>25</v>
      </c>
      <c r="B102" s="5" t="s">
        <v>7</v>
      </c>
      <c r="C102" s="16">
        <v>200413</v>
      </c>
      <c r="D102" s="15" t="s">
        <v>742</v>
      </c>
      <c r="E102" s="101">
        <v>0</v>
      </c>
    </row>
    <row r="103" spans="1:5" s="18" customFormat="1">
      <c r="A103" s="11" t="s">
        <v>25</v>
      </c>
      <c r="B103" s="5" t="s">
        <v>7</v>
      </c>
      <c r="C103" s="16">
        <v>200415</v>
      </c>
      <c r="D103" s="15" t="s">
        <v>184</v>
      </c>
      <c r="E103" s="101">
        <v>0</v>
      </c>
    </row>
    <row r="104" spans="1:5" s="18" customFormat="1">
      <c r="A104" s="11" t="s">
        <v>25</v>
      </c>
      <c r="B104" s="5" t="s">
        <v>7</v>
      </c>
      <c r="C104" s="16">
        <v>200418</v>
      </c>
      <c r="D104" s="15" t="s">
        <v>638</v>
      </c>
      <c r="E104" s="101">
        <v>0</v>
      </c>
    </row>
    <row r="105" spans="1:5" s="18" customFormat="1">
      <c r="A105" s="11" t="s">
        <v>25</v>
      </c>
      <c r="B105" s="5" t="s">
        <v>7</v>
      </c>
      <c r="C105" s="16">
        <v>200419</v>
      </c>
      <c r="D105" s="15" t="s">
        <v>639</v>
      </c>
      <c r="E105" s="101"/>
    </row>
    <row r="106" spans="1:5" s="18" customFormat="1">
      <c r="A106" s="11" t="s">
        <v>25</v>
      </c>
      <c r="B106" s="5" t="s">
        <v>7</v>
      </c>
      <c r="C106" s="16">
        <v>200423</v>
      </c>
      <c r="D106" s="15" t="s">
        <v>501</v>
      </c>
      <c r="E106" s="101">
        <v>0</v>
      </c>
    </row>
    <row r="107" spans="1:5" s="18" customFormat="1">
      <c r="A107" s="11" t="s">
        <v>25</v>
      </c>
      <c r="B107" s="5" t="s">
        <v>7</v>
      </c>
      <c r="C107" s="16">
        <v>200424</v>
      </c>
      <c r="D107" s="15" t="s">
        <v>640</v>
      </c>
      <c r="E107" s="8">
        <v>0</v>
      </c>
    </row>
    <row r="108" spans="1:5" s="18" customFormat="1">
      <c r="A108" s="11" t="s">
        <v>25</v>
      </c>
      <c r="B108" s="5" t="s">
        <v>7</v>
      </c>
      <c r="C108" s="16">
        <v>200427</v>
      </c>
      <c r="D108" s="15" t="s">
        <v>1304</v>
      </c>
      <c r="E108" s="8">
        <v>0</v>
      </c>
    </row>
    <row r="109" spans="1:5" s="18" customFormat="1">
      <c r="A109" s="11" t="s">
        <v>25</v>
      </c>
      <c r="B109" s="5" t="s">
        <v>7</v>
      </c>
      <c r="C109" s="16">
        <v>200428</v>
      </c>
      <c r="D109" s="15" t="s">
        <v>642</v>
      </c>
      <c r="E109" s="8">
        <v>0</v>
      </c>
    </row>
    <row r="110" spans="1:5" s="18" customFormat="1">
      <c r="A110" s="11" t="s">
        <v>25</v>
      </c>
      <c r="B110" s="5" t="s">
        <v>7</v>
      </c>
      <c r="C110" s="16">
        <v>988100016</v>
      </c>
      <c r="D110" s="15" t="s">
        <v>268</v>
      </c>
      <c r="E110" s="101">
        <v>0</v>
      </c>
    </row>
    <row r="111" spans="1:5" s="18" customFormat="1">
      <c r="A111" s="11" t="s">
        <v>25</v>
      </c>
      <c r="B111" s="5" t="s">
        <v>7</v>
      </c>
      <c r="C111" s="16">
        <v>200433</v>
      </c>
      <c r="D111" s="15" t="s">
        <v>743</v>
      </c>
      <c r="E111" s="101">
        <v>0</v>
      </c>
    </row>
    <row r="112" spans="1:5" s="18" customFormat="1">
      <c r="A112" s="11" t="s">
        <v>25</v>
      </c>
      <c r="B112" s="5" t="s">
        <v>7</v>
      </c>
      <c r="C112" s="16">
        <v>200434</v>
      </c>
      <c r="D112" s="15" t="s">
        <v>644</v>
      </c>
      <c r="E112" s="8">
        <v>0</v>
      </c>
    </row>
    <row r="113" spans="1:5" s="18" customFormat="1">
      <c r="A113" s="11" t="s">
        <v>25</v>
      </c>
      <c r="B113" s="5" t="s">
        <v>7</v>
      </c>
      <c r="C113" s="16">
        <v>200435</v>
      </c>
      <c r="D113" s="15" t="s">
        <v>645</v>
      </c>
      <c r="E113" s="101">
        <v>0</v>
      </c>
    </row>
    <row r="114" spans="1:5" s="18" customFormat="1" ht="12.65" customHeight="1">
      <c r="A114" s="11" t="s">
        <v>89</v>
      </c>
      <c r="B114" s="5" t="s">
        <v>7</v>
      </c>
      <c r="C114" s="16">
        <v>300000</v>
      </c>
      <c r="D114" s="15" t="s">
        <v>744</v>
      </c>
      <c r="E114" s="101">
        <v>6</v>
      </c>
    </row>
    <row r="115" spans="1:5" s="18" customFormat="1" ht="12.65" customHeight="1">
      <c r="A115" s="11" t="s">
        <v>89</v>
      </c>
      <c r="B115" s="5" t="s">
        <v>7</v>
      </c>
      <c r="C115" s="16">
        <v>300001</v>
      </c>
      <c r="D115" s="15" t="s">
        <v>745</v>
      </c>
      <c r="E115" s="101">
        <v>25</v>
      </c>
    </row>
    <row r="116" spans="1:5" s="18" customFormat="1">
      <c r="A116" s="11" t="s">
        <v>25</v>
      </c>
      <c r="B116" s="5" t="s">
        <v>7</v>
      </c>
      <c r="C116" s="16">
        <v>300005</v>
      </c>
      <c r="D116" s="15" t="s">
        <v>746</v>
      </c>
      <c r="E116" s="101">
        <v>12</v>
      </c>
    </row>
    <row r="117" spans="1:5" s="18" customFormat="1">
      <c r="A117" s="11" t="s">
        <v>25</v>
      </c>
      <c r="B117" s="5" t="s">
        <v>7</v>
      </c>
      <c r="C117" s="16">
        <v>300006</v>
      </c>
      <c r="D117" s="15" t="s">
        <v>747</v>
      </c>
      <c r="E117" s="8">
        <v>15</v>
      </c>
    </row>
    <row r="118" spans="1:5" s="18" customFormat="1" ht="12.65" customHeight="1">
      <c r="A118" s="11" t="s">
        <v>89</v>
      </c>
      <c r="B118" s="11" t="s">
        <v>7</v>
      </c>
      <c r="C118" s="24">
        <v>300007</v>
      </c>
      <c r="D118" s="40" t="s">
        <v>786</v>
      </c>
      <c r="E118" s="8">
        <v>25</v>
      </c>
    </row>
    <row r="119" spans="1:5" s="18" customFormat="1" ht="12.65" customHeight="1">
      <c r="A119" s="11" t="s">
        <v>89</v>
      </c>
      <c r="B119" s="11" t="s">
        <v>7</v>
      </c>
      <c r="C119" s="24">
        <v>300008</v>
      </c>
      <c r="D119" s="40" t="s">
        <v>785</v>
      </c>
      <c r="E119" s="8">
        <v>4</v>
      </c>
    </row>
    <row r="120" spans="1:5" s="18" customFormat="1">
      <c r="A120" s="11" t="s">
        <v>25</v>
      </c>
      <c r="B120" s="5" t="s">
        <v>7</v>
      </c>
      <c r="C120" s="16">
        <v>300009</v>
      </c>
      <c r="D120" s="15" t="s">
        <v>748</v>
      </c>
      <c r="E120" s="8">
        <v>0</v>
      </c>
    </row>
    <row r="121" spans="1:5" s="18" customFormat="1">
      <c r="A121" s="11" t="s">
        <v>89</v>
      </c>
      <c r="B121" s="5" t="s">
        <v>7</v>
      </c>
      <c r="C121" s="16">
        <v>300012</v>
      </c>
      <c r="D121" s="15" t="s">
        <v>749</v>
      </c>
      <c r="E121" s="101">
        <v>6</v>
      </c>
    </row>
    <row r="122" spans="1:5" s="18" customFormat="1">
      <c r="A122" s="11" t="s">
        <v>89</v>
      </c>
      <c r="B122" s="11" t="s">
        <v>7</v>
      </c>
      <c r="C122" s="7">
        <v>300017</v>
      </c>
      <c r="D122" s="110" t="s">
        <v>1305</v>
      </c>
      <c r="E122" s="101">
        <v>0</v>
      </c>
    </row>
    <row r="123" spans="1:5" s="18" customFormat="1">
      <c r="A123" s="11" t="s">
        <v>89</v>
      </c>
      <c r="B123" s="5" t="s">
        <v>7</v>
      </c>
      <c r="C123" s="16">
        <v>300020</v>
      </c>
      <c r="D123" s="15" t="s">
        <v>1306</v>
      </c>
      <c r="E123" s="101">
        <v>0</v>
      </c>
    </row>
    <row r="124" spans="1:5" s="18" customFormat="1">
      <c r="A124" s="11" t="s">
        <v>89</v>
      </c>
      <c r="B124" s="5" t="s">
        <v>7</v>
      </c>
      <c r="C124" s="16">
        <v>300021</v>
      </c>
      <c r="D124" s="15" t="s">
        <v>1307</v>
      </c>
      <c r="E124" s="101">
        <v>15</v>
      </c>
    </row>
    <row r="125" spans="1:5" s="18" customFormat="1">
      <c r="A125" s="11" t="s">
        <v>89</v>
      </c>
      <c r="B125" s="5" t="s">
        <v>7</v>
      </c>
      <c r="C125" s="16">
        <v>300036</v>
      </c>
      <c r="D125" s="15" t="s">
        <v>1308</v>
      </c>
      <c r="E125" s="101">
        <v>0</v>
      </c>
    </row>
    <row r="126" spans="1:5" s="18" customFormat="1">
      <c r="A126" s="11" t="s">
        <v>25</v>
      </c>
      <c r="B126" s="5" t="s">
        <v>7</v>
      </c>
      <c r="C126" s="16">
        <v>300040</v>
      </c>
      <c r="D126" s="15" t="s">
        <v>751</v>
      </c>
      <c r="E126" s="8">
        <v>30</v>
      </c>
    </row>
    <row r="127" spans="1:5" s="18" customFormat="1">
      <c r="A127" s="11" t="s">
        <v>89</v>
      </c>
      <c r="B127" s="5" t="s">
        <v>7</v>
      </c>
      <c r="C127" s="16">
        <v>300041</v>
      </c>
      <c r="D127" s="15" t="s">
        <v>1309</v>
      </c>
      <c r="E127" s="101">
        <v>0</v>
      </c>
    </row>
    <row r="128" spans="1:5" s="18" customFormat="1">
      <c r="A128" s="11" t="s">
        <v>89</v>
      </c>
      <c r="B128" s="5" t="s">
        <v>7</v>
      </c>
      <c r="C128" s="16">
        <v>300042</v>
      </c>
      <c r="D128" s="15" t="s">
        <v>1310</v>
      </c>
      <c r="E128" s="101">
        <v>0</v>
      </c>
    </row>
    <row r="129" spans="1:5" s="18" customFormat="1">
      <c r="A129" s="11" t="s">
        <v>89</v>
      </c>
      <c r="B129" s="5" t="s">
        <v>7</v>
      </c>
      <c r="C129" s="16">
        <v>300043</v>
      </c>
      <c r="D129" s="15" t="s">
        <v>1311</v>
      </c>
      <c r="E129" s="101">
        <v>0</v>
      </c>
    </row>
    <row r="130" spans="1:5" s="18" customFormat="1">
      <c r="A130" s="11" t="s">
        <v>89</v>
      </c>
      <c r="B130" s="5" t="s">
        <v>7</v>
      </c>
      <c r="C130" s="16">
        <v>300046</v>
      </c>
      <c r="D130" s="15" t="s">
        <v>116</v>
      </c>
      <c r="E130" s="101">
        <v>21</v>
      </c>
    </row>
    <row r="131" spans="1:5" s="18" customFormat="1">
      <c r="A131" s="11" t="s">
        <v>89</v>
      </c>
      <c r="B131" s="5" t="s">
        <v>7</v>
      </c>
      <c r="C131" s="16">
        <v>300047</v>
      </c>
      <c r="D131" s="15" t="s">
        <v>648</v>
      </c>
      <c r="E131" s="101">
        <v>0</v>
      </c>
    </row>
    <row r="132" spans="1:5" s="18" customFormat="1">
      <c r="A132" s="11" t="s">
        <v>89</v>
      </c>
      <c r="B132" s="5" t="s">
        <v>7</v>
      </c>
      <c r="C132" s="16">
        <v>300048</v>
      </c>
      <c r="D132" s="15" t="s">
        <v>1312</v>
      </c>
      <c r="E132" s="101">
        <v>0</v>
      </c>
    </row>
    <row r="133" spans="1:5" s="18" customFormat="1">
      <c r="A133" s="11" t="s">
        <v>89</v>
      </c>
      <c r="B133" s="5" t="s">
        <v>7</v>
      </c>
      <c r="C133" s="16">
        <v>300049</v>
      </c>
      <c r="D133" s="15" t="s">
        <v>649</v>
      </c>
      <c r="E133" s="101">
        <v>0</v>
      </c>
    </row>
    <row r="134" spans="1:5" s="18" customFormat="1">
      <c r="A134" s="11" t="s">
        <v>89</v>
      </c>
      <c r="B134" s="5" t="s">
        <v>7</v>
      </c>
      <c r="C134" s="16">
        <v>300054</v>
      </c>
      <c r="D134" s="15" t="s">
        <v>1313</v>
      </c>
      <c r="E134" s="101">
        <v>0</v>
      </c>
    </row>
    <row r="135" spans="1:5" s="18" customFormat="1">
      <c r="A135" s="11" t="s">
        <v>89</v>
      </c>
      <c r="B135" s="5" t="s">
        <v>7</v>
      </c>
      <c r="C135" s="16">
        <v>300056</v>
      </c>
      <c r="D135" s="15" t="s">
        <v>1314</v>
      </c>
      <c r="E135" s="101">
        <v>0</v>
      </c>
    </row>
    <row r="136" spans="1:5" s="18" customFormat="1">
      <c r="A136" s="11" t="s">
        <v>89</v>
      </c>
      <c r="B136" s="5" t="s">
        <v>7</v>
      </c>
      <c r="C136" s="16">
        <v>300057</v>
      </c>
      <c r="D136" s="15" t="s">
        <v>1315</v>
      </c>
      <c r="E136" s="101">
        <v>0</v>
      </c>
    </row>
    <row r="137" spans="1:5" s="18" customFormat="1">
      <c r="A137" s="11" t="s">
        <v>89</v>
      </c>
      <c r="B137" s="5" t="s">
        <v>7</v>
      </c>
      <c r="C137" s="16">
        <v>300058</v>
      </c>
      <c r="D137" s="15" t="s">
        <v>1316</v>
      </c>
      <c r="E137" s="101">
        <v>0</v>
      </c>
    </row>
    <row r="138" spans="1:5" s="18" customFormat="1">
      <c r="A138" s="5" t="s">
        <v>89</v>
      </c>
      <c r="B138" s="5" t="s">
        <v>7</v>
      </c>
      <c r="C138" s="315">
        <v>300061</v>
      </c>
      <c r="D138" s="316" t="s">
        <v>1317</v>
      </c>
      <c r="E138" s="101">
        <v>0</v>
      </c>
    </row>
    <row r="139" spans="1:5" s="18" customFormat="1">
      <c r="A139" s="11" t="s">
        <v>25</v>
      </c>
      <c r="B139" s="5" t="s">
        <v>7</v>
      </c>
      <c r="C139" s="16">
        <v>500004</v>
      </c>
      <c r="D139" s="15" t="s">
        <v>651</v>
      </c>
      <c r="E139" s="101">
        <v>0</v>
      </c>
    </row>
    <row r="140" spans="1:5" s="18" customFormat="1">
      <c r="A140" s="11" t="s">
        <v>25</v>
      </c>
      <c r="B140" s="5" t="s">
        <v>7</v>
      </c>
      <c r="C140" s="16">
        <v>500006</v>
      </c>
      <c r="D140" s="15" t="s">
        <v>652</v>
      </c>
      <c r="E140" s="101">
        <v>0</v>
      </c>
    </row>
    <row r="141" spans="1:5" s="18" customFormat="1">
      <c r="A141" s="11" t="s">
        <v>25</v>
      </c>
      <c r="B141" s="5" t="s">
        <v>7</v>
      </c>
      <c r="C141" s="16">
        <v>500007</v>
      </c>
      <c r="D141" s="15" t="s">
        <v>653</v>
      </c>
      <c r="E141" s="101">
        <v>0</v>
      </c>
    </row>
    <row r="142" spans="1:5" s="18" customFormat="1">
      <c r="A142" s="11" t="s">
        <v>25</v>
      </c>
      <c r="B142" s="11" t="s">
        <v>7</v>
      </c>
      <c r="C142" s="24">
        <v>500009</v>
      </c>
      <c r="D142" s="40" t="s">
        <v>157</v>
      </c>
      <c r="E142" s="101">
        <v>41</v>
      </c>
    </row>
    <row r="143" spans="1:5" s="18" customFormat="1">
      <c r="A143" s="11" t="s">
        <v>25</v>
      </c>
      <c r="B143" s="5" t="s">
        <v>7</v>
      </c>
      <c r="C143" s="16">
        <v>500011</v>
      </c>
      <c r="D143" s="15" t="s">
        <v>423</v>
      </c>
      <c r="E143" s="101">
        <v>0</v>
      </c>
    </row>
    <row r="144" spans="1:5" s="18" customFormat="1">
      <c r="A144" s="11" t="s">
        <v>25</v>
      </c>
      <c r="B144" s="11" t="s">
        <v>7</v>
      </c>
      <c r="C144" s="24">
        <v>500020</v>
      </c>
      <c r="D144" s="40" t="s">
        <v>38</v>
      </c>
      <c r="E144" s="101"/>
    </row>
    <row r="145" spans="1:5" s="18" customFormat="1">
      <c r="A145" s="11" t="s">
        <v>25</v>
      </c>
      <c r="B145" s="5" t="s">
        <v>7</v>
      </c>
      <c r="C145" s="16">
        <v>500021</v>
      </c>
      <c r="D145" s="15" t="s">
        <v>654</v>
      </c>
      <c r="E145" s="101">
        <v>0</v>
      </c>
    </row>
    <row r="146" spans="1:5" s="18" customFormat="1">
      <c r="A146" s="11" t="s">
        <v>25</v>
      </c>
      <c r="B146" s="5" t="s">
        <v>7</v>
      </c>
      <c r="C146" s="16">
        <v>500022</v>
      </c>
      <c r="D146" s="15" t="s">
        <v>655</v>
      </c>
      <c r="E146" s="101">
        <v>0</v>
      </c>
    </row>
    <row r="147" spans="1:5" s="18" customFormat="1">
      <c r="A147" s="11" t="s">
        <v>25</v>
      </c>
      <c r="B147" s="5" t="s">
        <v>7</v>
      </c>
      <c r="C147" s="16">
        <v>500032</v>
      </c>
      <c r="D147" s="15" t="s">
        <v>656</v>
      </c>
      <c r="E147" s="101">
        <v>0</v>
      </c>
    </row>
    <row r="148" spans="1:5" s="18" customFormat="1">
      <c r="A148" s="11" t="s">
        <v>25</v>
      </c>
      <c r="B148" s="5" t="s">
        <v>7</v>
      </c>
      <c r="C148" s="16">
        <v>500036</v>
      </c>
      <c r="D148" s="15" t="s">
        <v>657</v>
      </c>
      <c r="E148" s="101">
        <v>0</v>
      </c>
    </row>
    <row r="149" spans="1:5" s="18" customFormat="1">
      <c r="A149" s="11" t="s">
        <v>25</v>
      </c>
      <c r="B149" s="5" t="s">
        <v>7</v>
      </c>
      <c r="C149" s="16">
        <v>500037</v>
      </c>
      <c r="D149" s="15" t="s">
        <v>658</v>
      </c>
      <c r="E149" s="101">
        <v>0</v>
      </c>
    </row>
    <row r="150" spans="1:5" s="18" customFormat="1">
      <c r="A150" s="11" t="s">
        <v>25</v>
      </c>
      <c r="B150" s="5" t="s">
        <v>7</v>
      </c>
      <c r="C150" s="16">
        <v>500038</v>
      </c>
      <c r="D150" s="15" t="s">
        <v>659</v>
      </c>
      <c r="E150" s="101">
        <v>0</v>
      </c>
    </row>
    <row r="151" spans="1:5" s="18" customFormat="1">
      <c r="A151" s="11" t="s">
        <v>25</v>
      </c>
      <c r="B151" s="5" t="s">
        <v>7</v>
      </c>
      <c r="C151" s="16">
        <v>500044</v>
      </c>
      <c r="D151" s="15" t="s">
        <v>660</v>
      </c>
      <c r="E151" s="101">
        <v>0</v>
      </c>
    </row>
    <row r="152" spans="1:5" s="18" customFormat="1">
      <c r="A152" s="11" t="s">
        <v>25</v>
      </c>
      <c r="B152" s="5" t="s">
        <v>7</v>
      </c>
      <c r="C152" s="16">
        <v>500045</v>
      </c>
      <c r="D152" s="15" t="s">
        <v>424</v>
      </c>
      <c r="E152" s="101">
        <v>0</v>
      </c>
    </row>
    <row r="153" spans="1:5" s="18" customFormat="1">
      <c r="A153" s="11" t="s">
        <v>25</v>
      </c>
      <c r="B153" s="11" t="s">
        <v>7</v>
      </c>
      <c r="C153" s="24">
        <v>500048</v>
      </c>
      <c r="D153" s="40" t="s">
        <v>37</v>
      </c>
      <c r="E153" s="101"/>
    </row>
    <row r="154" spans="1:5" s="18" customFormat="1">
      <c r="A154" s="11" t="s">
        <v>25</v>
      </c>
      <c r="B154" s="5" t="s">
        <v>7</v>
      </c>
      <c r="C154" s="16">
        <v>500053</v>
      </c>
      <c r="D154" s="15" t="s">
        <v>661</v>
      </c>
      <c r="E154" s="101">
        <v>0</v>
      </c>
    </row>
    <row r="155" spans="1:5" s="18" customFormat="1">
      <c r="A155" s="11" t="s">
        <v>25</v>
      </c>
      <c r="B155" s="5" t="s">
        <v>7</v>
      </c>
      <c r="C155" s="16">
        <v>500055</v>
      </c>
      <c r="D155" s="15" t="s">
        <v>662</v>
      </c>
      <c r="E155" s="101">
        <v>0</v>
      </c>
    </row>
    <row r="156" spans="1:5" s="18" customFormat="1">
      <c r="A156" s="11" t="s">
        <v>25</v>
      </c>
      <c r="B156" s="11" t="s">
        <v>7</v>
      </c>
      <c r="C156" s="24">
        <v>500056</v>
      </c>
      <c r="D156" s="40" t="s">
        <v>158</v>
      </c>
      <c r="E156" s="101">
        <v>0</v>
      </c>
    </row>
    <row r="157" spans="1:5" s="18" customFormat="1">
      <c r="A157" s="11" t="s">
        <v>40</v>
      </c>
      <c r="B157" s="5" t="s">
        <v>41</v>
      </c>
      <c r="C157" s="315">
        <v>910045</v>
      </c>
      <c r="D157" s="316" t="s">
        <v>229</v>
      </c>
      <c r="E157" s="101">
        <v>36</v>
      </c>
    </row>
    <row r="158" spans="1:5" s="18" customFormat="1">
      <c r="A158" s="11" t="s">
        <v>40</v>
      </c>
      <c r="B158" s="5" t="s">
        <v>41</v>
      </c>
      <c r="C158" s="315">
        <v>910046</v>
      </c>
      <c r="D158" s="316" t="s">
        <v>230</v>
      </c>
      <c r="E158" s="101">
        <v>0</v>
      </c>
    </row>
    <row r="159" spans="1:5" s="18" customFormat="1">
      <c r="A159" s="11" t="s">
        <v>40</v>
      </c>
      <c r="B159" s="5" t="s">
        <v>41</v>
      </c>
      <c r="C159" s="315">
        <v>910047</v>
      </c>
      <c r="D159" s="316" t="s">
        <v>663</v>
      </c>
      <c r="E159" s="101">
        <v>0</v>
      </c>
    </row>
    <row r="160" spans="1:5" s="18" customFormat="1">
      <c r="A160" s="11" t="s">
        <v>40</v>
      </c>
      <c r="B160" s="5" t="s">
        <v>41</v>
      </c>
      <c r="C160" s="315">
        <v>910048</v>
      </c>
      <c r="D160" s="316" t="s">
        <v>664</v>
      </c>
      <c r="E160" s="101">
        <v>3</v>
      </c>
    </row>
    <row r="161" spans="1:5" s="18" customFormat="1">
      <c r="A161" s="11" t="s">
        <v>40</v>
      </c>
      <c r="B161" s="5" t="s">
        <v>41</v>
      </c>
      <c r="C161" s="315">
        <v>910049</v>
      </c>
      <c r="D161" s="316" t="s">
        <v>1318</v>
      </c>
      <c r="E161" s="101">
        <v>0</v>
      </c>
    </row>
    <row r="162" spans="1:5" s="18" customFormat="1">
      <c r="A162" s="11" t="s">
        <v>40</v>
      </c>
      <c r="B162" s="5" t="s">
        <v>41</v>
      </c>
      <c r="C162" s="315">
        <v>910050</v>
      </c>
      <c r="D162" s="316" t="s">
        <v>1319</v>
      </c>
      <c r="E162" s="101">
        <v>0</v>
      </c>
    </row>
    <row r="163" spans="1:5" s="18" customFormat="1">
      <c r="A163" s="11" t="s">
        <v>40</v>
      </c>
      <c r="B163" s="5" t="s">
        <v>41</v>
      </c>
      <c r="C163" s="315">
        <v>910051</v>
      </c>
      <c r="D163" s="316" t="s">
        <v>1320</v>
      </c>
      <c r="E163" s="101">
        <v>7</v>
      </c>
    </row>
    <row r="164" spans="1:5" s="18" customFormat="1">
      <c r="A164" s="11" t="s">
        <v>40</v>
      </c>
      <c r="B164" s="5" t="s">
        <v>41</v>
      </c>
      <c r="C164" s="315">
        <v>910052</v>
      </c>
      <c r="D164" s="316" t="s">
        <v>1321</v>
      </c>
      <c r="E164" s="101">
        <v>10</v>
      </c>
    </row>
    <row r="165" spans="1:5" s="18" customFormat="1">
      <c r="A165" s="11" t="s">
        <v>40</v>
      </c>
      <c r="B165" s="5" t="s">
        <v>41</v>
      </c>
      <c r="C165" s="315">
        <v>910053</v>
      </c>
      <c r="D165" s="316" t="s">
        <v>1322</v>
      </c>
      <c r="E165" s="101">
        <v>5</v>
      </c>
    </row>
    <row r="166" spans="1:5" s="18" customFormat="1">
      <c r="A166" s="11" t="s">
        <v>40</v>
      </c>
      <c r="B166" s="5" t="s">
        <v>41</v>
      </c>
      <c r="C166" s="315">
        <v>910054</v>
      </c>
      <c r="D166" s="316" t="s">
        <v>496</v>
      </c>
      <c r="E166" s="101">
        <v>13</v>
      </c>
    </row>
    <row r="167" spans="1:5" s="18" customFormat="1">
      <c r="A167" s="11" t="s">
        <v>40</v>
      </c>
      <c r="B167" s="5" t="s">
        <v>41</v>
      </c>
      <c r="C167" s="315">
        <v>910055</v>
      </c>
      <c r="D167" s="316" t="s">
        <v>257</v>
      </c>
      <c r="E167" s="101">
        <v>14</v>
      </c>
    </row>
    <row r="168" spans="1:5" s="18" customFormat="1">
      <c r="A168" s="11" t="s">
        <v>40</v>
      </c>
      <c r="B168" s="5" t="s">
        <v>41</v>
      </c>
      <c r="C168" s="315">
        <v>910056</v>
      </c>
      <c r="D168" s="316" t="s">
        <v>43</v>
      </c>
      <c r="E168" s="101">
        <v>19</v>
      </c>
    </row>
    <row r="169" spans="1:5" s="18" customFormat="1">
      <c r="A169" s="11" t="s">
        <v>40</v>
      </c>
      <c r="B169" s="5" t="s">
        <v>41</v>
      </c>
      <c r="C169" s="315">
        <v>910057</v>
      </c>
      <c r="D169" s="316" t="s">
        <v>44</v>
      </c>
      <c r="E169" s="101">
        <v>8</v>
      </c>
    </row>
    <row r="170" spans="1:5" s="18" customFormat="1">
      <c r="A170" s="11" t="s">
        <v>40</v>
      </c>
      <c r="B170" s="5" t="s">
        <v>41</v>
      </c>
      <c r="C170" s="315">
        <v>910058</v>
      </c>
      <c r="D170" s="316" t="s">
        <v>1323</v>
      </c>
      <c r="E170" s="101">
        <v>0</v>
      </c>
    </row>
    <row r="171" spans="1:5" s="18" customFormat="1">
      <c r="A171" s="11" t="s">
        <v>40</v>
      </c>
      <c r="B171" s="5" t="s">
        <v>41</v>
      </c>
      <c r="C171" s="315">
        <v>910059</v>
      </c>
      <c r="D171" s="316" t="s">
        <v>1324</v>
      </c>
      <c r="E171" s="101">
        <v>0</v>
      </c>
    </row>
    <row r="172" spans="1:5" s="18" customFormat="1">
      <c r="A172" s="11" t="s">
        <v>40</v>
      </c>
      <c r="B172" s="5" t="s">
        <v>41</v>
      </c>
      <c r="C172" s="315">
        <v>910060</v>
      </c>
      <c r="D172" s="316" t="s">
        <v>1325</v>
      </c>
      <c r="E172" s="101">
        <v>0</v>
      </c>
    </row>
    <row r="173" spans="1:5" s="18" customFormat="1">
      <c r="A173" s="11" t="s">
        <v>40</v>
      </c>
      <c r="B173" s="5" t="s">
        <v>41</v>
      </c>
      <c r="C173" s="315">
        <v>910061</v>
      </c>
      <c r="D173" s="316" t="s">
        <v>1326</v>
      </c>
      <c r="E173" s="101">
        <v>0</v>
      </c>
    </row>
    <row r="174" spans="1:5" s="18" customFormat="1">
      <c r="A174" s="11" t="s">
        <v>40</v>
      </c>
      <c r="B174" s="5" t="s">
        <v>41</v>
      </c>
      <c r="C174" s="315">
        <v>910062</v>
      </c>
      <c r="D174" s="316" t="s">
        <v>1327</v>
      </c>
      <c r="E174" s="101">
        <v>0</v>
      </c>
    </row>
    <row r="175" spans="1:5" s="18" customFormat="1">
      <c r="A175" s="11" t="s">
        <v>40</v>
      </c>
      <c r="B175" s="5" t="s">
        <v>41</v>
      </c>
      <c r="C175" s="317">
        <v>910063</v>
      </c>
      <c r="D175" s="316" t="s">
        <v>1328</v>
      </c>
      <c r="E175" s="101">
        <v>0</v>
      </c>
    </row>
    <row r="176" spans="1:5" s="18" customFormat="1">
      <c r="A176" s="11" t="s">
        <v>40</v>
      </c>
      <c r="B176" s="5" t="s">
        <v>41</v>
      </c>
      <c r="C176" s="315">
        <v>910064</v>
      </c>
      <c r="D176" s="316" t="s">
        <v>1329</v>
      </c>
      <c r="E176" s="101">
        <v>0</v>
      </c>
    </row>
    <row r="177" spans="1:5" s="18" customFormat="1">
      <c r="A177" s="11" t="s">
        <v>40</v>
      </c>
      <c r="B177" s="5" t="s">
        <v>41</v>
      </c>
      <c r="C177" s="315">
        <v>910065</v>
      </c>
      <c r="D177" s="316" t="s">
        <v>1330</v>
      </c>
      <c r="E177" s="8">
        <v>5</v>
      </c>
    </row>
    <row r="178" spans="1:5" s="18" customFormat="1">
      <c r="A178" s="11" t="s">
        <v>40</v>
      </c>
      <c r="B178" s="5" t="s">
        <v>41</v>
      </c>
      <c r="C178" s="315">
        <v>910066</v>
      </c>
      <c r="D178" s="316" t="s">
        <v>666</v>
      </c>
      <c r="E178" s="8">
        <v>5</v>
      </c>
    </row>
    <row r="179" spans="1:5" s="18" customFormat="1">
      <c r="A179" s="11" t="s">
        <v>40</v>
      </c>
      <c r="B179" s="5" t="s">
        <v>41</v>
      </c>
      <c r="C179" s="315">
        <v>910067</v>
      </c>
      <c r="D179" s="316" t="s">
        <v>667</v>
      </c>
      <c r="E179" s="8">
        <v>0</v>
      </c>
    </row>
    <row r="180" spans="1:5" s="18" customFormat="1">
      <c r="A180" s="11" t="s">
        <v>40</v>
      </c>
      <c r="B180" s="5" t="s">
        <v>41</v>
      </c>
      <c r="C180" s="315">
        <v>910068</v>
      </c>
      <c r="D180" s="316" t="s">
        <v>668</v>
      </c>
      <c r="E180" s="8">
        <v>4</v>
      </c>
    </row>
    <row r="181" spans="1:5" s="18" customFormat="1">
      <c r="A181" s="11" t="s">
        <v>40</v>
      </c>
      <c r="B181" s="5" t="s">
        <v>41</v>
      </c>
      <c r="C181" s="315">
        <v>910069</v>
      </c>
      <c r="D181" s="316" t="s">
        <v>669</v>
      </c>
      <c r="E181" s="8">
        <v>0</v>
      </c>
    </row>
    <row r="182" spans="1:5" s="18" customFormat="1">
      <c r="A182" s="11" t="s">
        <v>40</v>
      </c>
      <c r="B182" s="5" t="s">
        <v>41</v>
      </c>
      <c r="C182" s="315">
        <v>910070</v>
      </c>
      <c r="D182" s="316" t="s">
        <v>670</v>
      </c>
      <c r="E182" s="8">
        <v>5</v>
      </c>
    </row>
    <row r="183" spans="1:5" s="18" customFormat="1">
      <c r="A183" s="11" t="s">
        <v>40</v>
      </c>
      <c r="B183" s="5" t="s">
        <v>41</v>
      </c>
      <c r="C183" s="315">
        <v>910071</v>
      </c>
      <c r="D183" s="316" t="s">
        <v>671</v>
      </c>
      <c r="E183" s="8">
        <v>5</v>
      </c>
    </row>
    <row r="184" spans="1:5" s="18" customFormat="1">
      <c r="A184" s="11" t="s">
        <v>40</v>
      </c>
      <c r="B184" s="5" t="s">
        <v>41</v>
      </c>
      <c r="C184" s="315">
        <v>910072</v>
      </c>
      <c r="D184" s="316" t="s">
        <v>672</v>
      </c>
      <c r="E184" s="8">
        <v>8</v>
      </c>
    </row>
    <row r="185" spans="1:5" s="18" customFormat="1">
      <c r="A185" s="11" t="s">
        <v>40</v>
      </c>
      <c r="B185" s="5" t="s">
        <v>41</v>
      </c>
      <c r="C185" s="315">
        <v>910073</v>
      </c>
      <c r="D185" s="316" t="s">
        <v>673</v>
      </c>
      <c r="E185" s="8">
        <v>5</v>
      </c>
    </row>
    <row r="186" spans="1:5" s="18" customFormat="1">
      <c r="A186" s="11" t="s">
        <v>40</v>
      </c>
      <c r="B186" s="5" t="s">
        <v>41</v>
      </c>
      <c r="C186" s="315">
        <v>910074</v>
      </c>
      <c r="D186" s="316" t="s">
        <v>674</v>
      </c>
      <c r="E186" s="8">
        <v>4</v>
      </c>
    </row>
    <row r="187" spans="1:5" s="18" customFormat="1">
      <c r="A187" s="11" t="s">
        <v>40</v>
      </c>
      <c r="B187" s="5" t="s">
        <v>41</v>
      </c>
      <c r="C187" s="318">
        <v>910075</v>
      </c>
      <c r="D187" s="316" t="s">
        <v>1331</v>
      </c>
      <c r="E187" s="8">
        <v>5</v>
      </c>
    </row>
    <row r="188" spans="1:5" s="18" customFormat="1">
      <c r="A188" s="11" t="s">
        <v>40</v>
      </c>
      <c r="B188" s="5" t="s">
        <v>41</v>
      </c>
      <c r="C188" s="319">
        <v>910076</v>
      </c>
      <c r="D188" s="316" t="s">
        <v>1332</v>
      </c>
      <c r="E188" s="8">
        <v>6</v>
      </c>
    </row>
    <row r="189" spans="1:5" s="18" customFormat="1">
      <c r="A189" s="5" t="s">
        <v>40</v>
      </c>
      <c r="B189" s="5" t="s">
        <v>41</v>
      </c>
      <c r="C189" s="315">
        <v>990004</v>
      </c>
      <c r="D189" s="316" t="s">
        <v>45</v>
      </c>
      <c r="E189" s="101">
        <v>6</v>
      </c>
    </row>
    <row r="190" spans="1:5" s="18" customFormat="1">
      <c r="A190" s="5" t="s">
        <v>25</v>
      </c>
      <c r="B190" s="5" t="s">
        <v>7</v>
      </c>
      <c r="C190" s="315">
        <v>990062</v>
      </c>
      <c r="D190" s="316" t="s">
        <v>677</v>
      </c>
      <c r="E190" s="101"/>
    </row>
    <row r="191" spans="1:5" s="18" customFormat="1">
      <c r="A191" s="11" t="s">
        <v>25</v>
      </c>
      <c r="B191" s="11" t="s">
        <v>7</v>
      </c>
      <c r="C191" s="24">
        <v>990089</v>
      </c>
      <c r="D191" s="40" t="s">
        <v>159</v>
      </c>
      <c r="E191" s="101">
        <v>24</v>
      </c>
    </row>
    <row r="192" spans="1:5" s="18" customFormat="1">
      <c r="A192" s="5" t="s">
        <v>40</v>
      </c>
      <c r="B192" s="5" t="s">
        <v>41</v>
      </c>
      <c r="C192" s="315">
        <v>990097</v>
      </c>
      <c r="D192" s="316" t="s">
        <v>218</v>
      </c>
      <c r="E192" s="101">
        <v>8</v>
      </c>
    </row>
    <row r="193" spans="1:5" s="18" customFormat="1">
      <c r="A193" s="11" t="s">
        <v>40</v>
      </c>
      <c r="B193" s="5" t="s">
        <v>7</v>
      </c>
      <c r="C193" s="315">
        <v>990102</v>
      </c>
      <c r="D193" s="15" t="s">
        <v>61</v>
      </c>
      <c r="E193" s="8">
        <v>49</v>
      </c>
    </row>
    <row r="194" spans="1:5" s="18" customFormat="1">
      <c r="A194" s="5" t="s">
        <v>124</v>
      </c>
      <c r="B194" s="5" t="s">
        <v>7</v>
      </c>
      <c r="C194" s="16">
        <v>990114</v>
      </c>
      <c r="D194" s="316" t="s">
        <v>194</v>
      </c>
      <c r="E194" s="101"/>
    </row>
    <row r="195" spans="1:5" s="18" customFormat="1">
      <c r="A195" s="11" t="s">
        <v>40</v>
      </c>
      <c r="B195" s="5" t="s">
        <v>7</v>
      </c>
      <c r="C195" s="315">
        <v>990115</v>
      </c>
      <c r="D195" s="316" t="s">
        <v>51</v>
      </c>
      <c r="E195" s="8">
        <v>0</v>
      </c>
    </row>
    <row r="196" spans="1:5" s="18" customFormat="1">
      <c r="A196" s="11" t="s">
        <v>40</v>
      </c>
      <c r="B196" s="5" t="s">
        <v>7</v>
      </c>
      <c r="C196" s="315">
        <v>990116</v>
      </c>
      <c r="D196" s="316" t="s">
        <v>47</v>
      </c>
      <c r="E196" s="8">
        <v>31</v>
      </c>
    </row>
    <row r="197" spans="1:5" s="18" customFormat="1">
      <c r="A197" s="11" t="s">
        <v>40</v>
      </c>
      <c r="B197" s="5" t="s">
        <v>7</v>
      </c>
      <c r="C197" s="315">
        <v>990117</v>
      </c>
      <c r="D197" s="316" t="s">
        <v>49</v>
      </c>
      <c r="E197" s="8">
        <v>46</v>
      </c>
    </row>
    <row r="198" spans="1:5" s="18" customFormat="1">
      <c r="A198" s="11" t="s">
        <v>124</v>
      </c>
      <c r="B198" s="11" t="s">
        <v>7</v>
      </c>
      <c r="C198" s="315">
        <v>990120</v>
      </c>
      <c r="D198" s="316" t="s">
        <v>678</v>
      </c>
      <c r="E198" s="101">
        <v>0</v>
      </c>
    </row>
    <row r="199" spans="1:5" s="18" customFormat="1">
      <c r="A199" s="11" t="s">
        <v>124</v>
      </c>
      <c r="B199" s="11" t="s">
        <v>7</v>
      </c>
      <c r="C199" s="315">
        <v>990121</v>
      </c>
      <c r="D199" s="316" t="s">
        <v>679</v>
      </c>
      <c r="E199" s="101">
        <v>0</v>
      </c>
    </row>
    <row r="200" spans="1:5" s="18" customFormat="1">
      <c r="A200" s="11" t="s">
        <v>124</v>
      </c>
      <c r="B200" s="11" t="s">
        <v>7</v>
      </c>
      <c r="C200" s="315">
        <v>990125</v>
      </c>
      <c r="D200" s="316" t="s">
        <v>680</v>
      </c>
      <c r="E200" s="101">
        <v>0</v>
      </c>
    </row>
    <row r="201" spans="1:5" s="18" customFormat="1">
      <c r="A201" s="11" t="s">
        <v>40</v>
      </c>
      <c r="B201" s="5" t="s">
        <v>7</v>
      </c>
      <c r="C201" s="315">
        <v>990133</v>
      </c>
      <c r="D201" s="316" t="s">
        <v>1333</v>
      </c>
      <c r="E201" s="101">
        <v>0</v>
      </c>
    </row>
    <row r="202" spans="1:5" s="18" customFormat="1">
      <c r="A202" s="11" t="s">
        <v>25</v>
      </c>
      <c r="B202" s="5" t="s">
        <v>7</v>
      </c>
      <c r="C202" s="16">
        <v>990139</v>
      </c>
      <c r="D202" s="15" t="s">
        <v>435</v>
      </c>
      <c r="E202" s="8">
        <v>0</v>
      </c>
    </row>
    <row r="203" spans="1:5" s="18" customFormat="1">
      <c r="A203" s="11" t="s">
        <v>25</v>
      </c>
      <c r="B203" s="5" t="s">
        <v>7</v>
      </c>
      <c r="C203" s="16">
        <v>990140</v>
      </c>
      <c r="D203" s="15" t="s">
        <v>434</v>
      </c>
      <c r="E203" s="8">
        <v>0</v>
      </c>
    </row>
    <row r="204" spans="1:5" s="18" customFormat="1">
      <c r="A204" s="5" t="s">
        <v>40</v>
      </c>
      <c r="B204" s="5" t="s">
        <v>7</v>
      </c>
      <c r="C204" s="7">
        <v>990142</v>
      </c>
      <c r="D204" s="320" t="s">
        <v>764</v>
      </c>
      <c r="E204" s="101">
        <v>8</v>
      </c>
    </row>
    <row r="205" spans="1:5" s="18" customFormat="1">
      <c r="A205" s="5" t="s">
        <v>6</v>
      </c>
      <c r="B205" s="5" t="s">
        <v>7</v>
      </c>
      <c r="C205" s="16">
        <v>10000901</v>
      </c>
      <c r="D205" s="15" t="s">
        <v>1334</v>
      </c>
      <c r="E205" s="101">
        <v>23</v>
      </c>
    </row>
    <row r="206" spans="1:5" s="18" customFormat="1">
      <c r="A206" s="11" t="s">
        <v>6</v>
      </c>
      <c r="B206" s="11" t="s">
        <v>7</v>
      </c>
      <c r="C206" s="7">
        <v>988100021</v>
      </c>
      <c r="D206" s="7" t="s">
        <v>11</v>
      </c>
      <c r="E206" s="101">
        <v>39</v>
      </c>
    </row>
    <row r="207" spans="1:5" s="18" customFormat="1">
      <c r="A207" s="11" t="s">
        <v>6</v>
      </c>
      <c r="B207" s="11" t="s">
        <v>7</v>
      </c>
      <c r="C207" s="7">
        <v>988100024</v>
      </c>
      <c r="D207" s="7" t="s">
        <v>12</v>
      </c>
      <c r="E207" s="101">
        <v>22</v>
      </c>
    </row>
    <row r="208" spans="1:5" s="18" customFormat="1">
      <c r="A208" s="11" t="s">
        <v>6</v>
      </c>
      <c r="B208" s="11" t="s">
        <v>7</v>
      </c>
      <c r="C208" s="7">
        <v>988100025</v>
      </c>
      <c r="D208" s="7" t="s">
        <v>13</v>
      </c>
      <c r="E208" s="101">
        <v>42</v>
      </c>
    </row>
    <row r="209" spans="1:5" s="18" customFormat="1">
      <c r="A209" s="11" t="s">
        <v>6</v>
      </c>
      <c r="B209" s="11" t="s">
        <v>7</v>
      </c>
      <c r="C209" s="7">
        <v>988100026</v>
      </c>
      <c r="D209" s="7" t="s">
        <v>21</v>
      </c>
      <c r="E209" s="101">
        <v>0</v>
      </c>
    </row>
    <row r="210" spans="1:5" s="18" customFormat="1">
      <c r="A210" s="11" t="s">
        <v>89</v>
      </c>
      <c r="B210" s="11" t="s">
        <v>7</v>
      </c>
      <c r="C210" s="321">
        <v>988100034</v>
      </c>
      <c r="D210" s="115" t="s">
        <v>108</v>
      </c>
      <c r="E210" s="101">
        <v>0</v>
      </c>
    </row>
    <row r="211" spans="1:5" s="18" customFormat="1">
      <c r="A211" s="11" t="s">
        <v>89</v>
      </c>
      <c r="B211" s="11" t="s">
        <v>7</v>
      </c>
      <c r="C211" s="322">
        <v>988100040</v>
      </c>
      <c r="D211" s="115" t="s">
        <v>100</v>
      </c>
      <c r="E211" s="101"/>
    </row>
    <row r="212" spans="1:5" s="18" customFormat="1">
      <c r="A212" s="11" t="s">
        <v>25</v>
      </c>
      <c r="B212" s="11" t="s">
        <v>7</v>
      </c>
      <c r="C212" s="322">
        <v>988100046</v>
      </c>
      <c r="D212" s="115" t="s">
        <v>266</v>
      </c>
      <c r="E212" s="101"/>
    </row>
    <row r="213" spans="1:5" s="18" customFormat="1">
      <c r="A213" s="5" t="s">
        <v>25</v>
      </c>
      <c r="B213" s="5" t="s">
        <v>7</v>
      </c>
      <c r="C213" s="113">
        <v>988100048</v>
      </c>
      <c r="D213" s="19" t="s">
        <v>267</v>
      </c>
      <c r="E213" s="101">
        <v>0</v>
      </c>
    </row>
    <row r="214" spans="1:5" s="18" customFormat="1">
      <c r="A214" s="11" t="s">
        <v>25</v>
      </c>
      <c r="B214" s="11" t="s">
        <v>7</v>
      </c>
      <c r="C214" s="323">
        <v>988100063</v>
      </c>
      <c r="D214" s="324" t="s">
        <v>686</v>
      </c>
      <c r="E214" s="101">
        <v>0</v>
      </c>
    </row>
    <row r="215" spans="1:5" s="18" customFormat="1">
      <c r="A215" s="5" t="s">
        <v>40</v>
      </c>
      <c r="B215" s="5" t="s">
        <v>7</v>
      </c>
      <c r="C215" s="113">
        <v>988100066</v>
      </c>
      <c r="D215" s="320" t="s">
        <v>63</v>
      </c>
      <c r="E215" s="101">
        <v>24</v>
      </c>
    </row>
    <row r="216" spans="1:5" s="18" customFormat="1">
      <c r="A216" s="11" t="s">
        <v>25</v>
      </c>
      <c r="B216" s="5" t="s">
        <v>7</v>
      </c>
      <c r="C216" s="311">
        <v>988100081</v>
      </c>
      <c r="D216" s="312" t="s">
        <v>1335</v>
      </c>
      <c r="E216" s="101">
        <v>0</v>
      </c>
    </row>
    <row r="217" spans="1:5" s="18" customFormat="1">
      <c r="A217" s="11" t="s">
        <v>25</v>
      </c>
      <c r="B217" s="5" t="s">
        <v>7</v>
      </c>
      <c r="C217" s="16">
        <v>988100084</v>
      </c>
      <c r="D217" s="15" t="s">
        <v>1336</v>
      </c>
      <c r="E217" s="8">
        <v>0</v>
      </c>
    </row>
    <row r="218" spans="1:5" s="18" customFormat="1">
      <c r="A218" s="11" t="s">
        <v>40</v>
      </c>
      <c r="B218" s="5" t="s">
        <v>7</v>
      </c>
      <c r="C218" s="322">
        <v>988100088</v>
      </c>
      <c r="D218" s="115" t="s">
        <v>69</v>
      </c>
      <c r="E218" s="101">
        <v>0</v>
      </c>
    </row>
    <row r="219" spans="1:5" s="18" customFormat="1">
      <c r="A219" s="11" t="s">
        <v>25</v>
      </c>
      <c r="B219" s="11" t="s">
        <v>7</v>
      </c>
      <c r="C219" s="322">
        <v>988100092</v>
      </c>
      <c r="D219" s="115" t="s">
        <v>1337</v>
      </c>
      <c r="E219" s="101">
        <v>0</v>
      </c>
    </row>
    <row r="220" spans="1:5" s="18" customFormat="1" ht="13">
      <c r="A220" s="5" t="s">
        <v>25</v>
      </c>
      <c r="B220" s="5" t="s">
        <v>7</v>
      </c>
      <c r="C220" s="322">
        <v>988100096</v>
      </c>
      <c r="D220" s="325" t="s">
        <v>325</v>
      </c>
      <c r="E220" s="101">
        <v>0</v>
      </c>
    </row>
    <row r="221" spans="1:5" s="18" customFormat="1">
      <c r="A221" s="5" t="s">
        <v>25</v>
      </c>
      <c r="B221" s="5" t="s">
        <v>7</v>
      </c>
      <c r="C221" s="113">
        <v>988100098</v>
      </c>
      <c r="D221" s="19" t="s">
        <v>766</v>
      </c>
      <c r="E221" s="101">
        <v>0</v>
      </c>
    </row>
    <row r="222" spans="1:5" s="18" customFormat="1">
      <c r="A222" s="11" t="s">
        <v>25</v>
      </c>
      <c r="B222" s="5" t="s">
        <v>7</v>
      </c>
      <c r="C222" s="16">
        <v>988100099</v>
      </c>
      <c r="D222" s="15" t="s">
        <v>334</v>
      </c>
      <c r="E222" s="101">
        <v>0</v>
      </c>
    </row>
    <row r="223" spans="1:5" s="18" customFormat="1">
      <c r="A223" s="11" t="s">
        <v>89</v>
      </c>
      <c r="B223" s="11" t="s">
        <v>7</v>
      </c>
      <c r="C223" s="113">
        <v>988100100</v>
      </c>
      <c r="D223" s="19" t="s">
        <v>97</v>
      </c>
      <c r="E223" s="101">
        <v>21</v>
      </c>
    </row>
    <row r="224" spans="1:5" s="18" customFormat="1">
      <c r="A224" s="5" t="s">
        <v>89</v>
      </c>
      <c r="B224" s="5" t="s">
        <v>7</v>
      </c>
      <c r="C224" s="113">
        <v>988100121</v>
      </c>
      <c r="D224" s="15" t="s">
        <v>1338</v>
      </c>
      <c r="E224" s="101">
        <v>0</v>
      </c>
    </row>
    <row r="225" spans="1:5" s="18" customFormat="1">
      <c r="A225" s="11" t="s">
        <v>6</v>
      </c>
      <c r="B225" s="11" t="s">
        <v>7</v>
      </c>
      <c r="C225" s="113">
        <v>988100123</v>
      </c>
      <c r="D225" s="115" t="s">
        <v>690</v>
      </c>
      <c r="E225" s="101"/>
    </row>
    <row r="226" spans="1:5" s="18" customFormat="1">
      <c r="A226" s="11" t="s">
        <v>40</v>
      </c>
      <c r="B226" s="5" t="s">
        <v>7</v>
      </c>
      <c r="C226" s="113">
        <v>988100124</v>
      </c>
      <c r="D226" s="19" t="s">
        <v>67</v>
      </c>
      <c r="E226" s="101">
        <v>9</v>
      </c>
    </row>
    <row r="227" spans="1:5" s="18" customFormat="1">
      <c r="A227" s="11" t="s">
        <v>25</v>
      </c>
      <c r="B227" s="11" t="s">
        <v>7</v>
      </c>
      <c r="C227" s="113">
        <v>988100127</v>
      </c>
      <c r="D227" s="15" t="s">
        <v>693</v>
      </c>
      <c r="E227" s="101"/>
    </row>
    <row r="228" spans="1:5" s="18" customFormat="1">
      <c r="A228" s="11" t="s">
        <v>89</v>
      </c>
      <c r="B228" s="11" t="s">
        <v>7</v>
      </c>
      <c r="C228" s="180">
        <v>988100130</v>
      </c>
      <c r="D228" s="15" t="s">
        <v>98</v>
      </c>
      <c r="E228" s="101">
        <v>14</v>
      </c>
    </row>
    <row r="229" spans="1:5" s="18" customFormat="1">
      <c r="A229" s="11" t="s">
        <v>89</v>
      </c>
      <c r="B229" s="11" t="s">
        <v>7</v>
      </c>
      <c r="C229" s="113">
        <v>988100131</v>
      </c>
      <c r="D229" s="15" t="s">
        <v>696</v>
      </c>
      <c r="E229" s="101"/>
    </row>
    <row r="230" spans="1:5" s="18" customFormat="1">
      <c r="A230" s="11" t="s">
        <v>89</v>
      </c>
      <c r="B230" s="11" t="s">
        <v>7</v>
      </c>
      <c r="C230" s="113">
        <v>988100132</v>
      </c>
      <c r="D230" s="115" t="s">
        <v>96</v>
      </c>
      <c r="E230" s="101"/>
    </row>
    <row r="231" spans="1:5" s="18" customFormat="1">
      <c r="A231" s="11" t="s">
        <v>25</v>
      </c>
      <c r="B231" s="11" t="s">
        <v>7</v>
      </c>
      <c r="C231" s="113">
        <v>988100136</v>
      </c>
      <c r="D231" s="326" t="s">
        <v>1339</v>
      </c>
      <c r="E231" s="101">
        <v>0</v>
      </c>
    </row>
    <row r="232" spans="1:5" s="18" customFormat="1">
      <c r="A232" s="11" t="s">
        <v>40</v>
      </c>
      <c r="B232" s="11" t="s">
        <v>41</v>
      </c>
      <c r="C232" s="113">
        <v>988100139</v>
      </c>
      <c r="D232" s="15" t="s">
        <v>700</v>
      </c>
      <c r="E232" s="101">
        <v>0</v>
      </c>
    </row>
    <row r="233" spans="1:5" s="18" customFormat="1">
      <c r="A233" s="11" t="s">
        <v>40</v>
      </c>
      <c r="B233" s="11" t="s">
        <v>41</v>
      </c>
      <c r="C233" s="327">
        <v>988100140</v>
      </c>
      <c r="D233" s="328" t="s">
        <v>701</v>
      </c>
      <c r="E233" s="101">
        <v>0</v>
      </c>
    </row>
    <row r="234" spans="1:5" s="18" customFormat="1">
      <c r="A234" s="11" t="s">
        <v>40</v>
      </c>
      <c r="B234" s="5" t="s">
        <v>7</v>
      </c>
      <c r="C234" s="327">
        <v>988100276</v>
      </c>
      <c r="D234" s="329" t="s">
        <v>433</v>
      </c>
      <c r="E234" s="101">
        <v>0</v>
      </c>
    </row>
    <row r="235" spans="1:5" s="18" customFormat="1">
      <c r="A235" s="11" t="s">
        <v>25</v>
      </c>
      <c r="B235" s="11" t="s">
        <v>7</v>
      </c>
      <c r="C235" s="327">
        <v>988100423</v>
      </c>
      <c r="D235" s="328" t="s">
        <v>1340</v>
      </c>
      <c r="E235" s="101">
        <v>0</v>
      </c>
    </row>
    <row r="236" spans="1:5" s="18" customFormat="1">
      <c r="A236" s="11" t="s">
        <v>89</v>
      </c>
      <c r="B236" s="11" t="s">
        <v>7</v>
      </c>
      <c r="C236" s="113">
        <v>988100424</v>
      </c>
      <c r="D236" s="15" t="s">
        <v>1341</v>
      </c>
      <c r="E236" s="101">
        <v>25</v>
      </c>
    </row>
    <row r="237" spans="1:5" s="18" customFormat="1">
      <c r="A237" s="11" t="s">
        <v>124</v>
      </c>
      <c r="B237" s="11" t="s">
        <v>7</v>
      </c>
      <c r="C237" s="113">
        <v>988100425</v>
      </c>
      <c r="D237" s="19" t="s">
        <v>431</v>
      </c>
      <c r="E237" s="101">
        <v>0</v>
      </c>
    </row>
    <row r="238" spans="1:5" s="18" customFormat="1">
      <c r="A238" s="11" t="s">
        <v>89</v>
      </c>
      <c r="B238" s="11" t="s">
        <v>7</v>
      </c>
      <c r="C238" s="113">
        <v>988100426</v>
      </c>
      <c r="D238" s="6" t="s">
        <v>380</v>
      </c>
      <c r="E238" s="101">
        <v>25</v>
      </c>
    </row>
    <row r="239" spans="1:5" s="18" customFormat="1">
      <c r="A239" s="11" t="s">
        <v>89</v>
      </c>
      <c r="B239" s="11" t="s">
        <v>7</v>
      </c>
      <c r="C239" s="113">
        <v>988100427</v>
      </c>
      <c r="D239" s="330" t="s">
        <v>719</v>
      </c>
      <c r="E239" s="101">
        <v>0</v>
      </c>
    </row>
    <row r="240" spans="1:5" s="18" customFormat="1">
      <c r="A240" s="11" t="s">
        <v>89</v>
      </c>
      <c r="B240" s="11" t="s">
        <v>7</v>
      </c>
      <c r="C240" s="113">
        <v>988100432</v>
      </c>
      <c r="D240" s="66" t="s">
        <v>772</v>
      </c>
      <c r="E240" s="101">
        <v>0</v>
      </c>
    </row>
    <row r="241" spans="1:5" s="18" customFormat="1">
      <c r="A241" s="11" t="s">
        <v>25</v>
      </c>
      <c r="B241" s="11" t="s">
        <v>7</v>
      </c>
      <c r="C241" s="113">
        <v>988100433</v>
      </c>
      <c r="D241" s="66" t="s">
        <v>1342</v>
      </c>
      <c r="E241" s="101">
        <v>0</v>
      </c>
    </row>
    <row r="242" spans="1:5" s="18" customFormat="1">
      <c r="A242" s="11" t="s">
        <v>89</v>
      </c>
      <c r="B242" s="11" t="s">
        <v>7</v>
      </c>
      <c r="C242" s="113">
        <v>988100434</v>
      </c>
      <c r="D242" s="19" t="s">
        <v>93</v>
      </c>
      <c r="E242" s="101">
        <v>0</v>
      </c>
    </row>
    <row r="243" spans="1:5" s="18" customFormat="1">
      <c r="A243" s="11" t="s">
        <v>124</v>
      </c>
      <c r="B243" s="11" t="s">
        <v>41</v>
      </c>
      <c r="C243" s="180">
        <v>988100436</v>
      </c>
      <c r="D243" s="15" t="s">
        <v>436</v>
      </c>
      <c r="E243" s="101">
        <v>0</v>
      </c>
    </row>
    <row r="244" spans="1:5" s="18" customFormat="1">
      <c r="A244" s="11" t="s">
        <v>124</v>
      </c>
      <c r="B244" s="11" t="s">
        <v>41</v>
      </c>
      <c r="C244" s="180">
        <v>988100437</v>
      </c>
      <c r="D244" s="15" t="s">
        <v>437</v>
      </c>
      <c r="E244" s="101">
        <v>0</v>
      </c>
    </row>
    <row r="245" spans="1:5" s="18" customFormat="1">
      <c r="A245" s="11" t="s">
        <v>25</v>
      </c>
      <c r="B245" s="11" t="s">
        <v>41</v>
      </c>
      <c r="C245" s="113">
        <v>988100438</v>
      </c>
      <c r="D245" s="15" t="s">
        <v>79</v>
      </c>
      <c r="E245" s="101">
        <v>0</v>
      </c>
    </row>
    <row r="246" spans="1:5" s="18" customFormat="1">
      <c r="A246" s="11" t="s">
        <v>25</v>
      </c>
      <c r="B246" s="11" t="s">
        <v>41</v>
      </c>
      <c r="C246" s="113">
        <v>988100439</v>
      </c>
      <c r="D246" s="15" t="s">
        <v>80</v>
      </c>
      <c r="E246" s="101">
        <v>0</v>
      </c>
    </row>
    <row r="247" spans="1:5" s="18" customFormat="1">
      <c r="A247" s="11" t="s">
        <v>25</v>
      </c>
      <c r="B247" s="11" t="s">
        <v>41</v>
      </c>
      <c r="C247" s="113">
        <v>988100440</v>
      </c>
      <c r="D247" s="15" t="s">
        <v>81</v>
      </c>
      <c r="E247" s="101">
        <v>0</v>
      </c>
    </row>
    <row r="248" spans="1:5" s="18" customFormat="1">
      <c r="A248" s="11" t="s">
        <v>25</v>
      </c>
      <c r="B248" s="11" t="s">
        <v>41</v>
      </c>
      <c r="C248" s="331">
        <v>988100441</v>
      </c>
      <c r="D248" s="117" t="s">
        <v>82</v>
      </c>
      <c r="E248" s="101">
        <v>0</v>
      </c>
    </row>
    <row r="249" spans="1:5" s="18" customFormat="1">
      <c r="A249" s="11" t="s">
        <v>25</v>
      </c>
      <c r="B249" s="11" t="s">
        <v>41</v>
      </c>
      <c r="C249" s="180">
        <v>988100442</v>
      </c>
      <c r="D249" s="117" t="s">
        <v>83</v>
      </c>
      <c r="E249" s="101">
        <v>0</v>
      </c>
    </row>
    <row r="250" spans="1:5" s="18" customFormat="1">
      <c r="A250" s="11" t="s">
        <v>25</v>
      </c>
      <c r="B250" s="11" t="s">
        <v>41</v>
      </c>
      <c r="C250" s="113">
        <v>988100443</v>
      </c>
      <c r="D250" s="15" t="s">
        <v>84</v>
      </c>
      <c r="E250" s="101">
        <v>0</v>
      </c>
    </row>
    <row r="251" spans="1:5" s="18" customFormat="1">
      <c r="A251" s="11" t="s">
        <v>6</v>
      </c>
      <c r="B251" s="11" t="s">
        <v>7</v>
      </c>
      <c r="C251" s="113">
        <v>988100445</v>
      </c>
      <c r="D251" s="15" t="s">
        <v>499</v>
      </c>
      <c r="E251" s="101">
        <v>0</v>
      </c>
    </row>
    <row r="252" spans="1:5" s="18" customFormat="1">
      <c r="A252" s="11" t="s">
        <v>40</v>
      </c>
      <c r="B252" s="11" t="s">
        <v>41</v>
      </c>
      <c r="C252" s="309">
        <v>988100446</v>
      </c>
      <c r="D252" s="332" t="s">
        <v>438</v>
      </c>
      <c r="E252" s="101">
        <v>0</v>
      </c>
    </row>
    <row r="253" spans="1:5" s="18" customFormat="1">
      <c r="A253" s="11" t="s">
        <v>40</v>
      </c>
      <c r="B253" s="11" t="s">
        <v>41</v>
      </c>
      <c r="C253" s="309">
        <v>988100447</v>
      </c>
      <c r="D253" s="332" t="s">
        <v>439</v>
      </c>
      <c r="E253" s="101">
        <v>0</v>
      </c>
    </row>
    <row r="254" spans="1:5" s="18" customFormat="1">
      <c r="A254" s="11" t="s">
        <v>40</v>
      </c>
      <c r="B254" s="11" t="s">
        <v>41</v>
      </c>
      <c r="C254" s="309">
        <v>988100448</v>
      </c>
      <c r="D254" s="332" t="s">
        <v>440</v>
      </c>
      <c r="E254" s="101">
        <v>0</v>
      </c>
    </row>
    <row r="255" spans="1:5" s="18" customFormat="1">
      <c r="A255" s="11" t="s">
        <v>6</v>
      </c>
      <c r="B255" s="11" t="s">
        <v>7</v>
      </c>
      <c r="C255" s="309">
        <v>988100449</v>
      </c>
      <c r="D255" s="310" t="s">
        <v>171</v>
      </c>
      <c r="E255" s="101">
        <v>41</v>
      </c>
    </row>
    <row r="256" spans="1:5" s="18" customFormat="1">
      <c r="A256" s="11" t="s">
        <v>40</v>
      </c>
      <c r="B256" s="5" t="s">
        <v>7</v>
      </c>
      <c r="C256" s="7">
        <v>988100450</v>
      </c>
      <c r="D256" s="19" t="s">
        <v>446</v>
      </c>
      <c r="E256" s="101">
        <v>0</v>
      </c>
    </row>
    <row r="257" spans="1:5" s="18" customFormat="1">
      <c r="A257" s="11" t="s">
        <v>25</v>
      </c>
      <c r="B257" s="11" t="s">
        <v>41</v>
      </c>
      <c r="C257" s="56">
        <v>988100453</v>
      </c>
      <c r="D257" s="65" t="s">
        <v>85</v>
      </c>
      <c r="E257" s="101">
        <v>0</v>
      </c>
    </row>
    <row r="258" spans="1:5" s="18" customFormat="1">
      <c r="A258" s="11" t="s">
        <v>89</v>
      </c>
      <c r="B258" s="11" t="s">
        <v>7</v>
      </c>
      <c r="C258" s="56">
        <v>988100455</v>
      </c>
      <c r="D258" s="65" t="s">
        <v>95</v>
      </c>
      <c r="E258" s="101">
        <v>41</v>
      </c>
    </row>
    <row r="259" spans="1:5" s="18" customFormat="1">
      <c r="A259" s="11" t="s">
        <v>25</v>
      </c>
      <c r="B259" s="11" t="s">
        <v>7</v>
      </c>
      <c r="C259" s="309">
        <v>988100456</v>
      </c>
      <c r="D259" s="310" t="s">
        <v>26</v>
      </c>
      <c r="E259" s="101">
        <v>21</v>
      </c>
    </row>
    <row r="260" spans="1:5" s="18" customFormat="1">
      <c r="A260" s="11" t="s">
        <v>25</v>
      </c>
      <c r="B260" s="11" t="s">
        <v>7</v>
      </c>
      <c r="C260" s="56">
        <v>988100458</v>
      </c>
      <c r="D260" s="56" t="s">
        <v>445</v>
      </c>
      <c r="E260" s="101">
        <v>57</v>
      </c>
    </row>
    <row r="261" spans="1:5" s="18" customFormat="1">
      <c r="A261" s="11" t="s">
        <v>6</v>
      </c>
      <c r="B261" s="11" t="s">
        <v>7</v>
      </c>
      <c r="C261" s="56">
        <v>988100459</v>
      </c>
      <c r="D261" s="56" t="s">
        <v>1343</v>
      </c>
      <c r="E261" s="101">
        <v>12</v>
      </c>
    </row>
    <row r="262" spans="1:5" s="18" customFormat="1">
      <c r="A262" s="11" t="s">
        <v>6</v>
      </c>
      <c r="B262" s="11" t="s">
        <v>7</v>
      </c>
      <c r="C262" s="7">
        <v>988100460</v>
      </c>
      <c r="D262" s="7" t="s">
        <v>14</v>
      </c>
      <c r="E262" s="101">
        <v>56</v>
      </c>
    </row>
    <row r="263" spans="1:5" s="18" customFormat="1">
      <c r="A263" s="11" t="s">
        <v>6</v>
      </c>
      <c r="B263" s="11" t="s">
        <v>41</v>
      </c>
      <c r="C263" s="56">
        <v>988100461</v>
      </c>
      <c r="D263" s="65" t="s">
        <v>447</v>
      </c>
      <c r="E263" s="101">
        <v>0</v>
      </c>
    </row>
    <row r="264" spans="1:5" s="18" customFormat="1">
      <c r="A264" s="11" t="s">
        <v>89</v>
      </c>
      <c r="B264" s="11" t="s">
        <v>7</v>
      </c>
      <c r="C264" s="56">
        <v>988100464</v>
      </c>
      <c r="D264" s="56" t="s">
        <v>94</v>
      </c>
      <c r="E264" s="101">
        <v>2</v>
      </c>
    </row>
    <row r="265" spans="1:5" s="18" customFormat="1">
      <c r="A265" s="11" t="s">
        <v>25</v>
      </c>
      <c r="B265" s="11" t="s">
        <v>41</v>
      </c>
      <c r="C265" s="56">
        <v>988100465</v>
      </c>
      <c r="D265" s="65" t="s">
        <v>86</v>
      </c>
      <c r="E265" s="101">
        <v>0</v>
      </c>
    </row>
    <row r="266" spans="1:5" s="18" customFormat="1">
      <c r="A266" s="11" t="s">
        <v>25</v>
      </c>
      <c r="B266" s="11" t="s">
        <v>41</v>
      </c>
      <c r="C266" s="7">
        <v>988100466</v>
      </c>
      <c r="D266" s="19" t="s">
        <v>87</v>
      </c>
      <c r="E266" s="101">
        <v>0</v>
      </c>
    </row>
    <row r="267" spans="1:5" s="18" customFormat="1">
      <c r="A267" s="11" t="s">
        <v>25</v>
      </c>
      <c r="B267" s="11" t="s">
        <v>41</v>
      </c>
      <c r="C267" s="7">
        <v>988100467</v>
      </c>
      <c r="D267" s="19" t="s">
        <v>88</v>
      </c>
      <c r="E267" s="101">
        <v>0</v>
      </c>
    </row>
    <row r="268" spans="1:5" s="18" customFormat="1">
      <c r="A268" s="11" t="s">
        <v>89</v>
      </c>
      <c r="B268" s="11" t="s">
        <v>7</v>
      </c>
      <c r="C268" s="7">
        <v>988100468</v>
      </c>
      <c r="D268" s="19" t="s">
        <v>99</v>
      </c>
      <c r="E268" s="101">
        <v>1</v>
      </c>
    </row>
    <row r="269" spans="1:5" s="18" customFormat="1">
      <c r="A269" s="11" t="s">
        <v>25</v>
      </c>
      <c r="B269" s="11" t="s">
        <v>41</v>
      </c>
      <c r="C269" s="56">
        <v>988100469</v>
      </c>
      <c r="D269" s="56" t="s">
        <v>153</v>
      </c>
      <c r="E269" s="101">
        <v>4</v>
      </c>
    </row>
    <row r="270" spans="1:5" s="18" customFormat="1">
      <c r="A270" s="11" t="s">
        <v>25</v>
      </c>
      <c r="B270" s="11" t="s">
        <v>7</v>
      </c>
      <c r="C270" s="333">
        <v>988100471</v>
      </c>
      <c r="D270" s="334" t="s">
        <v>494</v>
      </c>
      <c r="E270" s="101">
        <v>2</v>
      </c>
    </row>
    <row r="271" spans="1:5" s="18" customFormat="1">
      <c r="A271" s="11" t="s">
        <v>40</v>
      </c>
      <c r="B271" s="5" t="s">
        <v>7</v>
      </c>
      <c r="C271" s="7">
        <v>988100484</v>
      </c>
      <c r="D271" s="7" t="s">
        <v>55</v>
      </c>
      <c r="E271" s="101"/>
    </row>
    <row r="272" spans="1:5" s="18" customFormat="1">
      <c r="A272" s="11" t="s">
        <v>6</v>
      </c>
      <c r="B272" s="11" t="s">
        <v>7</v>
      </c>
      <c r="C272" s="7">
        <v>988100489</v>
      </c>
      <c r="D272" s="19" t="s">
        <v>212</v>
      </c>
      <c r="E272" s="8">
        <v>0</v>
      </c>
    </row>
    <row r="273" spans="1:5" s="18" customFormat="1">
      <c r="A273" s="11" t="s">
        <v>25</v>
      </c>
      <c r="B273" s="11" t="s">
        <v>7</v>
      </c>
      <c r="C273" s="7">
        <v>988100535</v>
      </c>
      <c r="D273" s="17" t="s">
        <v>493</v>
      </c>
      <c r="E273" s="101">
        <v>0</v>
      </c>
    </row>
    <row r="274" spans="1:5" s="18" customFormat="1">
      <c r="A274" s="11" t="s">
        <v>6</v>
      </c>
      <c r="B274" s="11" t="s">
        <v>7</v>
      </c>
      <c r="C274" s="7">
        <v>988100538</v>
      </c>
      <c r="D274" s="15" t="s">
        <v>500</v>
      </c>
      <c r="E274" s="101">
        <v>0</v>
      </c>
    </row>
    <row r="275" spans="1:5" s="18" customFormat="1">
      <c r="A275" s="11" t="s">
        <v>25</v>
      </c>
      <c r="B275" s="11" t="s">
        <v>7</v>
      </c>
      <c r="C275" s="335">
        <v>988100539</v>
      </c>
      <c r="D275" s="336" t="s">
        <v>36</v>
      </c>
      <c r="E275" s="101">
        <v>0</v>
      </c>
    </row>
    <row r="276" spans="1:5" s="18" customFormat="1">
      <c r="A276" s="11" t="s">
        <v>25</v>
      </c>
      <c r="B276" s="11" t="s">
        <v>7</v>
      </c>
      <c r="C276" s="111">
        <v>988100540</v>
      </c>
      <c r="D276" s="112" t="s">
        <v>39</v>
      </c>
      <c r="E276" s="101"/>
    </row>
    <row r="277" spans="1:5" s="18" customFormat="1">
      <c r="A277" s="11" t="s">
        <v>25</v>
      </c>
      <c r="B277" s="11" t="s">
        <v>7</v>
      </c>
      <c r="C277" s="7">
        <v>988100541</v>
      </c>
      <c r="D277" s="15" t="s">
        <v>497</v>
      </c>
      <c r="E277" s="101">
        <v>0</v>
      </c>
    </row>
    <row r="278" spans="1:5" s="18" customFormat="1">
      <c r="A278" s="11" t="s">
        <v>89</v>
      </c>
      <c r="B278" s="11" t="s">
        <v>7</v>
      </c>
      <c r="C278" s="7">
        <v>988100542</v>
      </c>
      <c r="D278" s="15" t="s">
        <v>539</v>
      </c>
      <c r="E278" s="101">
        <v>0</v>
      </c>
    </row>
    <row r="279" spans="1:5" s="18" customFormat="1">
      <c r="A279" s="11" t="s">
        <v>89</v>
      </c>
      <c r="B279" s="11" t="s">
        <v>7</v>
      </c>
      <c r="C279" s="7">
        <v>988100543</v>
      </c>
      <c r="D279" s="15" t="s">
        <v>110</v>
      </c>
      <c r="E279" s="101">
        <v>9</v>
      </c>
    </row>
    <row r="280" spans="1:5" s="18" customFormat="1">
      <c r="A280" s="11" t="s">
        <v>6</v>
      </c>
      <c r="B280" s="11" t="s">
        <v>7</v>
      </c>
      <c r="C280" s="7">
        <v>988100546</v>
      </c>
      <c r="D280" s="110" t="s">
        <v>502</v>
      </c>
      <c r="E280" s="101">
        <v>0</v>
      </c>
    </row>
    <row r="281" spans="1:5" s="18" customFormat="1">
      <c r="A281" s="11" t="s">
        <v>6</v>
      </c>
      <c r="B281" s="11" t="s">
        <v>7</v>
      </c>
      <c r="C281" s="7">
        <v>988100547</v>
      </c>
      <c r="D281" s="110" t="s">
        <v>503</v>
      </c>
      <c r="E281" s="101">
        <v>0</v>
      </c>
    </row>
    <row r="282" spans="1:5" s="18" customFormat="1">
      <c r="A282" s="11" t="s">
        <v>25</v>
      </c>
      <c r="B282" s="11" t="s">
        <v>7</v>
      </c>
      <c r="C282" s="7">
        <v>988100564</v>
      </c>
      <c r="D282" s="15" t="s">
        <v>517</v>
      </c>
      <c r="E282" s="101">
        <v>0</v>
      </c>
    </row>
    <row r="283" spans="1:5" s="18" customFormat="1">
      <c r="A283" s="11" t="s">
        <v>25</v>
      </c>
      <c r="B283" s="11" t="s">
        <v>7</v>
      </c>
      <c r="C283" s="7">
        <v>988100566</v>
      </c>
      <c r="D283" s="15" t="s">
        <v>1344</v>
      </c>
      <c r="E283" s="101">
        <v>93</v>
      </c>
    </row>
    <row r="284" spans="1:5" s="18" customFormat="1">
      <c r="A284" s="11" t="s">
        <v>25</v>
      </c>
      <c r="B284" s="11" t="s">
        <v>7</v>
      </c>
      <c r="C284" s="7">
        <v>988100567</v>
      </c>
      <c r="D284" s="40" t="s">
        <v>528</v>
      </c>
      <c r="E284" s="101">
        <v>0</v>
      </c>
    </row>
    <row r="285" spans="1:5" s="18" customFormat="1">
      <c r="A285" s="11" t="s">
        <v>25</v>
      </c>
      <c r="B285" s="11" t="s">
        <v>7</v>
      </c>
      <c r="C285" s="7">
        <v>988100568</v>
      </c>
      <c r="D285" s="40" t="s">
        <v>552</v>
      </c>
      <c r="E285" s="101">
        <v>0</v>
      </c>
    </row>
    <row r="286" spans="1:5" s="18" customFormat="1">
      <c r="A286" s="11" t="s">
        <v>25</v>
      </c>
      <c r="B286" s="11" t="s">
        <v>7</v>
      </c>
      <c r="C286" s="7">
        <v>988100569</v>
      </c>
      <c r="D286" s="15" t="s">
        <v>29</v>
      </c>
      <c r="E286" s="101">
        <v>46</v>
      </c>
    </row>
    <row r="287" spans="1:5" s="18" customFormat="1">
      <c r="A287" s="11" t="s">
        <v>40</v>
      </c>
      <c r="B287" s="5" t="s">
        <v>7</v>
      </c>
      <c r="C287" s="7">
        <v>988100570</v>
      </c>
      <c r="D287" s="15" t="s">
        <v>53</v>
      </c>
      <c r="E287" s="101">
        <v>0</v>
      </c>
    </row>
    <row r="288" spans="1:5" s="18" customFormat="1">
      <c r="A288" s="11" t="s">
        <v>25</v>
      </c>
      <c r="B288" s="11" t="s">
        <v>7</v>
      </c>
      <c r="C288" s="7">
        <v>988100571</v>
      </c>
      <c r="D288" s="15" t="s">
        <v>31</v>
      </c>
      <c r="E288" s="101">
        <v>51</v>
      </c>
    </row>
    <row r="289" spans="1:5" s="18" customFormat="1">
      <c r="A289" s="11" t="s">
        <v>25</v>
      </c>
      <c r="B289" s="11" t="s">
        <v>7</v>
      </c>
      <c r="C289" s="7">
        <v>988100572</v>
      </c>
      <c r="D289" s="15" t="s">
        <v>30</v>
      </c>
      <c r="E289" s="101">
        <v>93</v>
      </c>
    </row>
    <row r="290" spans="1:5" s="18" customFormat="1">
      <c r="A290" s="11" t="s">
        <v>25</v>
      </c>
      <c r="B290" s="11" t="s">
        <v>7</v>
      </c>
      <c r="C290" s="7">
        <v>988100573</v>
      </c>
      <c r="D290" s="15" t="s">
        <v>519</v>
      </c>
      <c r="E290" s="101">
        <v>0</v>
      </c>
    </row>
    <row r="291" spans="1:5" s="18" customFormat="1">
      <c r="A291" s="11" t="s">
        <v>25</v>
      </c>
      <c r="B291" s="11" t="s">
        <v>7</v>
      </c>
      <c r="C291" s="7">
        <v>988100574</v>
      </c>
      <c r="D291" s="15" t="s">
        <v>532</v>
      </c>
      <c r="E291" s="101">
        <v>0</v>
      </c>
    </row>
    <row r="292" spans="1:5" s="18" customFormat="1">
      <c r="A292" s="11" t="s">
        <v>124</v>
      </c>
      <c r="B292" s="11" t="s">
        <v>41</v>
      </c>
      <c r="C292" s="7">
        <v>988100578</v>
      </c>
      <c r="D292" s="17" t="s">
        <v>125</v>
      </c>
      <c r="E292" s="8">
        <v>0</v>
      </c>
    </row>
    <row r="293" spans="1:5" s="18" customFormat="1">
      <c r="A293" s="11" t="s">
        <v>124</v>
      </c>
      <c r="B293" s="11" t="s">
        <v>41</v>
      </c>
      <c r="C293" s="7">
        <v>988100579</v>
      </c>
      <c r="D293" s="17" t="s">
        <v>127</v>
      </c>
      <c r="E293" s="8">
        <v>2</v>
      </c>
    </row>
    <row r="294" spans="1:5" s="18" customFormat="1">
      <c r="A294" s="11" t="s">
        <v>124</v>
      </c>
      <c r="B294" s="11" t="s">
        <v>41</v>
      </c>
      <c r="C294" s="56">
        <v>988100580</v>
      </c>
      <c r="D294" s="30" t="s">
        <v>129</v>
      </c>
      <c r="E294" s="8">
        <v>0</v>
      </c>
    </row>
    <row r="295" spans="1:5" s="18" customFormat="1">
      <c r="A295" s="11" t="s">
        <v>124</v>
      </c>
      <c r="B295" s="11" t="s">
        <v>41</v>
      </c>
      <c r="C295" s="56">
        <v>988100581</v>
      </c>
      <c r="D295" s="30" t="s">
        <v>131</v>
      </c>
      <c r="E295" s="8">
        <v>0</v>
      </c>
    </row>
    <row r="296" spans="1:5" s="18" customFormat="1">
      <c r="A296" s="11" t="s">
        <v>124</v>
      </c>
      <c r="B296" s="11" t="s">
        <v>41</v>
      </c>
      <c r="C296" s="7">
        <v>988100582</v>
      </c>
      <c r="D296" s="17" t="s">
        <v>133</v>
      </c>
      <c r="E296" s="8"/>
    </row>
    <row r="297" spans="1:5" s="18" customFormat="1">
      <c r="A297" s="11" t="s">
        <v>124</v>
      </c>
      <c r="B297" s="11" t="s">
        <v>41</v>
      </c>
      <c r="C297" s="56">
        <v>988100583</v>
      </c>
      <c r="D297" s="30" t="s">
        <v>134</v>
      </c>
      <c r="E297" s="8">
        <v>11</v>
      </c>
    </row>
    <row r="298" spans="1:5" s="18" customFormat="1">
      <c r="A298" s="11" t="s">
        <v>124</v>
      </c>
      <c r="B298" s="11" t="s">
        <v>41</v>
      </c>
      <c r="C298" s="56">
        <v>988100584</v>
      </c>
      <c r="D298" s="30" t="s">
        <v>135</v>
      </c>
      <c r="E298" s="8"/>
    </row>
    <row r="299" spans="1:5" s="18" customFormat="1">
      <c r="A299" s="11" t="s">
        <v>124</v>
      </c>
      <c r="B299" s="11" t="s">
        <v>41</v>
      </c>
      <c r="C299" s="7">
        <v>988100585</v>
      </c>
      <c r="D299" s="17" t="s">
        <v>136</v>
      </c>
      <c r="E299" s="8">
        <v>13</v>
      </c>
    </row>
    <row r="300" spans="1:5" s="18" customFormat="1">
      <c r="A300" s="11" t="s">
        <v>124</v>
      </c>
      <c r="B300" s="11" t="s">
        <v>41</v>
      </c>
      <c r="C300" s="56">
        <v>988100586</v>
      </c>
      <c r="D300" s="30" t="s">
        <v>526</v>
      </c>
      <c r="E300" s="8">
        <v>0</v>
      </c>
    </row>
    <row r="301" spans="1:5" s="18" customFormat="1">
      <c r="A301" s="11" t="s">
        <v>124</v>
      </c>
      <c r="B301" s="11" t="s">
        <v>41</v>
      </c>
      <c r="C301" s="7">
        <v>988100587</v>
      </c>
      <c r="D301" s="17" t="s">
        <v>137</v>
      </c>
      <c r="E301" s="8">
        <v>0</v>
      </c>
    </row>
    <row r="302" spans="1:5" s="18" customFormat="1">
      <c r="A302" s="11" t="s">
        <v>124</v>
      </c>
      <c r="B302" s="11" t="s">
        <v>41</v>
      </c>
      <c r="C302" s="7">
        <v>988100588</v>
      </c>
      <c r="D302" s="17" t="s">
        <v>138</v>
      </c>
      <c r="E302" s="8"/>
    </row>
    <row r="303" spans="1:5" s="18" customFormat="1">
      <c r="A303" s="11" t="s">
        <v>124</v>
      </c>
      <c r="B303" s="11" t="s">
        <v>41</v>
      </c>
      <c r="C303" s="7">
        <v>988100589</v>
      </c>
      <c r="D303" s="17" t="s">
        <v>139</v>
      </c>
      <c r="E303" s="8"/>
    </row>
    <row r="304" spans="1:5" s="18" customFormat="1">
      <c r="A304" s="11" t="s">
        <v>124</v>
      </c>
      <c r="B304" s="11" t="s">
        <v>41</v>
      </c>
      <c r="C304" s="7">
        <v>988100590</v>
      </c>
      <c r="D304" s="17" t="s">
        <v>140</v>
      </c>
      <c r="E304" s="8">
        <v>0</v>
      </c>
    </row>
    <row r="305" spans="1:5" s="18" customFormat="1">
      <c r="A305" s="11" t="s">
        <v>124</v>
      </c>
      <c r="B305" s="11" t="s">
        <v>41</v>
      </c>
      <c r="C305" s="7">
        <v>988100591</v>
      </c>
      <c r="D305" s="17" t="s">
        <v>141</v>
      </c>
      <c r="E305" s="8">
        <v>0</v>
      </c>
    </row>
    <row r="306" spans="1:5" s="18" customFormat="1">
      <c r="A306" s="11" t="s">
        <v>124</v>
      </c>
      <c r="B306" s="11" t="s">
        <v>41</v>
      </c>
      <c r="C306" s="56">
        <v>988100592</v>
      </c>
      <c r="D306" s="30" t="s">
        <v>142</v>
      </c>
      <c r="E306" s="8">
        <v>0</v>
      </c>
    </row>
    <row r="307" spans="1:5" s="18" customFormat="1">
      <c r="A307" s="11" t="s">
        <v>124</v>
      </c>
      <c r="B307" s="11" t="s">
        <v>41</v>
      </c>
      <c r="C307" s="56">
        <v>988100593</v>
      </c>
      <c r="D307" s="30" t="s">
        <v>143</v>
      </c>
      <c r="E307" s="8">
        <v>0</v>
      </c>
    </row>
    <row r="308" spans="1:5" s="18" customFormat="1">
      <c r="A308" s="11" t="s">
        <v>124</v>
      </c>
      <c r="B308" s="11" t="s">
        <v>41</v>
      </c>
      <c r="C308" s="56">
        <v>988100594</v>
      </c>
      <c r="D308" s="30" t="s">
        <v>144</v>
      </c>
      <c r="E308" s="8">
        <v>0</v>
      </c>
    </row>
    <row r="309" spans="1:5" s="18" customFormat="1" ht="12.65" customHeight="1">
      <c r="A309" s="11" t="s">
        <v>124</v>
      </c>
      <c r="B309" s="11" t="s">
        <v>41</v>
      </c>
      <c r="C309" s="7">
        <v>988100595</v>
      </c>
      <c r="D309" s="17" t="s">
        <v>145</v>
      </c>
      <c r="E309" s="8">
        <v>0</v>
      </c>
    </row>
    <row r="310" spans="1:5" s="18" customFormat="1">
      <c r="A310" s="11" t="s">
        <v>124</v>
      </c>
      <c r="B310" s="11" t="s">
        <v>41</v>
      </c>
      <c r="C310" s="7">
        <v>988100596</v>
      </c>
      <c r="D310" s="17" t="s">
        <v>146</v>
      </c>
      <c r="E310" s="8">
        <v>0</v>
      </c>
    </row>
    <row r="311" spans="1:5" s="18" customFormat="1">
      <c r="A311" s="11" t="s">
        <v>25</v>
      </c>
      <c r="B311" s="11" t="s">
        <v>7</v>
      </c>
      <c r="C311" s="56">
        <v>988100597</v>
      </c>
      <c r="D311" s="117" t="s">
        <v>219</v>
      </c>
      <c r="E311" s="101">
        <v>0</v>
      </c>
    </row>
    <row r="312" spans="1:5" s="18" customFormat="1">
      <c r="A312" s="11" t="s">
        <v>25</v>
      </c>
      <c r="B312" s="11" t="s">
        <v>7</v>
      </c>
      <c r="C312" s="56">
        <v>988100598</v>
      </c>
      <c r="D312" s="117" t="s">
        <v>1345</v>
      </c>
      <c r="E312" s="101">
        <v>0</v>
      </c>
    </row>
    <row r="313" spans="1:5" s="18" customFormat="1">
      <c r="A313" s="11" t="s">
        <v>89</v>
      </c>
      <c r="B313" s="11" t="s">
        <v>7</v>
      </c>
      <c r="C313" s="56">
        <v>988100600</v>
      </c>
      <c r="D313" s="117" t="s">
        <v>112</v>
      </c>
      <c r="E313" s="8"/>
    </row>
    <row r="314" spans="1:5" s="18" customFormat="1">
      <c r="A314" s="11" t="s">
        <v>25</v>
      </c>
      <c r="B314" s="11" t="s">
        <v>41</v>
      </c>
      <c r="C314" s="7">
        <v>988100601</v>
      </c>
      <c r="D314" s="15" t="s">
        <v>71</v>
      </c>
      <c r="E314" s="101">
        <v>58</v>
      </c>
    </row>
    <row r="315" spans="1:5" s="18" customFormat="1">
      <c r="A315" s="11" t="s">
        <v>25</v>
      </c>
      <c r="B315" s="11" t="s">
        <v>41</v>
      </c>
      <c r="C315" s="7">
        <v>988100602</v>
      </c>
      <c r="D315" s="15" t="s">
        <v>73</v>
      </c>
      <c r="E315" s="101">
        <v>3</v>
      </c>
    </row>
    <row r="316" spans="1:5" s="18" customFormat="1">
      <c r="A316" s="11" t="s">
        <v>25</v>
      </c>
      <c r="B316" s="11" t="s">
        <v>7</v>
      </c>
      <c r="C316" s="56">
        <v>988100603</v>
      </c>
      <c r="D316" s="117" t="s">
        <v>529</v>
      </c>
      <c r="E316" s="101"/>
    </row>
    <row r="317" spans="1:5" s="18" customFormat="1" ht="12.65" customHeight="1">
      <c r="A317" s="11" t="s">
        <v>25</v>
      </c>
      <c r="B317" s="11" t="s">
        <v>41</v>
      </c>
      <c r="C317" s="7">
        <v>988100605</v>
      </c>
      <c r="D317" s="17" t="s">
        <v>75</v>
      </c>
      <c r="E317" s="101">
        <v>5</v>
      </c>
    </row>
    <row r="318" spans="1:5" s="18" customFormat="1">
      <c r="A318" s="11" t="s">
        <v>25</v>
      </c>
      <c r="B318" s="11" t="s">
        <v>41</v>
      </c>
      <c r="C318" s="7">
        <v>988100606</v>
      </c>
      <c r="D318" s="17" t="s">
        <v>77</v>
      </c>
      <c r="E318" s="101">
        <v>5</v>
      </c>
    </row>
    <row r="319" spans="1:5" s="18" customFormat="1">
      <c r="A319" s="11" t="s">
        <v>25</v>
      </c>
      <c r="B319" s="11" t="s">
        <v>7</v>
      </c>
      <c r="C319" s="7">
        <v>988100608</v>
      </c>
      <c r="D319" s="17" t="s">
        <v>530</v>
      </c>
      <c r="E319" s="101">
        <v>0</v>
      </c>
    </row>
    <row r="320" spans="1:5" s="18" customFormat="1">
      <c r="A320" s="11" t="s">
        <v>25</v>
      </c>
      <c r="B320" s="11" t="s">
        <v>7</v>
      </c>
      <c r="C320" s="7">
        <v>988100609</v>
      </c>
      <c r="D320" s="17" t="s">
        <v>531</v>
      </c>
      <c r="E320" s="101">
        <v>0</v>
      </c>
    </row>
    <row r="321" spans="1:5" s="18" customFormat="1">
      <c r="A321" s="11" t="s">
        <v>25</v>
      </c>
      <c r="B321" s="11" t="s">
        <v>7</v>
      </c>
      <c r="C321" s="7">
        <v>988100610</v>
      </c>
      <c r="D321" s="17" t="s">
        <v>33</v>
      </c>
      <c r="E321" s="101">
        <v>0</v>
      </c>
    </row>
    <row r="322" spans="1:5" s="18" customFormat="1">
      <c r="A322" s="11" t="s">
        <v>25</v>
      </c>
      <c r="B322" s="11" t="s">
        <v>7</v>
      </c>
      <c r="C322" s="70">
        <v>988100611</v>
      </c>
      <c r="D322" s="127" t="s">
        <v>1346</v>
      </c>
      <c r="E322" s="101">
        <v>69</v>
      </c>
    </row>
    <row r="323" spans="1:5" s="18" customFormat="1">
      <c r="A323" s="11" t="s">
        <v>25</v>
      </c>
      <c r="B323" s="11" t="s">
        <v>7</v>
      </c>
      <c r="C323" s="7">
        <v>988100612</v>
      </c>
      <c r="D323" s="17" t="s">
        <v>533</v>
      </c>
      <c r="E323" s="101">
        <v>0</v>
      </c>
    </row>
    <row r="324" spans="1:5" s="18" customFormat="1">
      <c r="A324" s="11" t="s">
        <v>25</v>
      </c>
      <c r="B324" s="11" t="s">
        <v>7</v>
      </c>
      <c r="C324" s="56">
        <v>988100613</v>
      </c>
      <c r="D324" s="30" t="s">
        <v>32</v>
      </c>
      <c r="E324" s="101">
        <v>57</v>
      </c>
    </row>
    <row r="325" spans="1:5" s="18" customFormat="1">
      <c r="A325" s="11" t="s">
        <v>25</v>
      </c>
      <c r="B325" s="11" t="s">
        <v>7</v>
      </c>
      <c r="C325" s="7">
        <v>988100614</v>
      </c>
      <c r="D325" s="17" t="s">
        <v>534</v>
      </c>
      <c r="E325" s="101">
        <v>0</v>
      </c>
    </row>
    <row r="326" spans="1:5" s="18" customFormat="1" ht="12.65" customHeight="1">
      <c r="A326" s="11" t="s">
        <v>25</v>
      </c>
      <c r="B326" s="11" t="s">
        <v>7</v>
      </c>
      <c r="C326" s="56">
        <v>988100620</v>
      </c>
      <c r="D326" s="337" t="s">
        <v>559</v>
      </c>
      <c r="E326" s="101">
        <v>30</v>
      </c>
    </row>
    <row r="327" spans="1:5" s="18" customFormat="1">
      <c r="A327" s="11" t="s">
        <v>25</v>
      </c>
      <c r="B327" s="11" t="s">
        <v>7</v>
      </c>
      <c r="C327" s="7">
        <v>988100621</v>
      </c>
      <c r="D327" s="40" t="s">
        <v>535</v>
      </c>
      <c r="E327" s="101">
        <v>0</v>
      </c>
    </row>
    <row r="328" spans="1:5" s="18" customFormat="1">
      <c r="A328" s="11" t="s">
        <v>25</v>
      </c>
      <c r="B328" s="11" t="s">
        <v>7</v>
      </c>
      <c r="C328" s="56">
        <v>988100622</v>
      </c>
      <c r="D328" s="118" t="s">
        <v>536</v>
      </c>
      <c r="E328" s="101">
        <v>0</v>
      </c>
    </row>
    <row r="329" spans="1:5" s="18" customFormat="1">
      <c r="A329" s="11" t="s">
        <v>89</v>
      </c>
      <c r="B329" s="11" t="s">
        <v>7</v>
      </c>
      <c r="C329" s="7">
        <v>988100627</v>
      </c>
      <c r="D329" s="40" t="s">
        <v>113</v>
      </c>
      <c r="E329" s="8">
        <v>0</v>
      </c>
    </row>
    <row r="330" spans="1:5" s="18" customFormat="1">
      <c r="A330" s="11" t="s">
        <v>6</v>
      </c>
      <c r="B330" s="11" t="s">
        <v>7</v>
      </c>
      <c r="C330" s="7">
        <v>988100629</v>
      </c>
      <c r="D330" s="7" t="s">
        <v>20</v>
      </c>
      <c r="E330" s="101">
        <v>32</v>
      </c>
    </row>
    <row r="331" spans="1:5" s="18" customFormat="1">
      <c r="A331" s="11" t="s">
        <v>6</v>
      </c>
      <c r="B331" s="11" t="s">
        <v>7</v>
      </c>
      <c r="C331" s="56">
        <v>988100630</v>
      </c>
      <c r="D331" s="56" t="s">
        <v>211</v>
      </c>
      <c r="E331" s="101">
        <v>37</v>
      </c>
    </row>
    <row r="332" spans="1:5" s="18" customFormat="1">
      <c r="A332" s="11" t="s">
        <v>25</v>
      </c>
      <c r="B332" s="11" t="s">
        <v>7</v>
      </c>
      <c r="C332" s="56">
        <v>988100632</v>
      </c>
      <c r="D332" s="56" t="s">
        <v>1347</v>
      </c>
      <c r="E332" s="101">
        <v>0</v>
      </c>
    </row>
    <row r="333" spans="1:5" s="18" customFormat="1">
      <c r="A333" s="11" t="s">
        <v>25</v>
      </c>
      <c r="B333" s="11" t="s">
        <v>7</v>
      </c>
      <c r="C333" s="7">
        <v>988100633</v>
      </c>
      <c r="D333" s="17" t="s">
        <v>549</v>
      </c>
      <c r="E333" s="101">
        <v>0</v>
      </c>
    </row>
    <row r="334" spans="1:5" s="18" customFormat="1">
      <c r="A334" s="11" t="s">
        <v>124</v>
      </c>
      <c r="B334" s="11" t="s">
        <v>41</v>
      </c>
      <c r="C334" s="7">
        <v>988100634</v>
      </c>
      <c r="D334" s="17" t="s">
        <v>147</v>
      </c>
      <c r="E334" s="8">
        <v>22</v>
      </c>
    </row>
    <row r="335" spans="1:5" s="18" customFormat="1" ht="12.65" customHeight="1">
      <c r="A335" s="72" t="s">
        <v>124</v>
      </c>
      <c r="B335" s="72" t="s">
        <v>41</v>
      </c>
      <c r="C335" s="56">
        <v>988100635</v>
      </c>
      <c r="D335" s="30" t="s">
        <v>148</v>
      </c>
      <c r="E335" s="8">
        <v>19</v>
      </c>
    </row>
    <row r="336" spans="1:5" ht="12.65" customHeight="1">
      <c r="A336" s="72" t="s">
        <v>124</v>
      </c>
      <c r="B336" s="72" t="s">
        <v>41</v>
      </c>
      <c r="C336" s="7">
        <v>988100636</v>
      </c>
      <c r="D336" s="30" t="s">
        <v>149</v>
      </c>
      <c r="E336" s="8">
        <v>18</v>
      </c>
    </row>
    <row r="337" spans="1:5" ht="12.65" customHeight="1">
      <c r="A337" s="72" t="s">
        <v>25</v>
      </c>
      <c r="B337" s="72" t="s">
        <v>7</v>
      </c>
      <c r="C337" s="7">
        <v>988100637</v>
      </c>
      <c r="D337" s="56" t="s">
        <v>547</v>
      </c>
      <c r="E337" s="101">
        <v>0</v>
      </c>
    </row>
    <row r="338" spans="1:5" ht="12.65" customHeight="1">
      <c r="A338" s="11" t="s">
        <v>25</v>
      </c>
      <c r="B338" s="11" t="s">
        <v>7</v>
      </c>
      <c r="C338" s="7">
        <v>988100638</v>
      </c>
      <c r="D338" s="7" t="s">
        <v>548</v>
      </c>
      <c r="E338" s="101">
        <v>0</v>
      </c>
    </row>
    <row r="339" spans="1:5" ht="12.65" customHeight="1">
      <c r="A339" s="11" t="s">
        <v>25</v>
      </c>
      <c r="B339" s="11" t="s">
        <v>7</v>
      </c>
      <c r="C339" s="7">
        <v>988100639</v>
      </c>
      <c r="D339" s="15" t="s">
        <v>550</v>
      </c>
      <c r="E339" s="101">
        <v>0</v>
      </c>
    </row>
    <row r="340" spans="1:5" ht="12.65" customHeight="1">
      <c r="A340" s="11" t="s">
        <v>89</v>
      </c>
      <c r="B340" s="11" t="s">
        <v>7</v>
      </c>
      <c r="C340" s="7">
        <v>988100640</v>
      </c>
      <c r="D340" s="15" t="s">
        <v>114</v>
      </c>
      <c r="E340" s="8">
        <v>0</v>
      </c>
    </row>
    <row r="341" spans="1:5" ht="12.65" customHeight="1">
      <c r="A341" s="11" t="s">
        <v>25</v>
      </c>
      <c r="B341" s="11" t="s">
        <v>7</v>
      </c>
      <c r="C341" s="7">
        <v>988100641</v>
      </c>
      <c r="D341" s="15" t="s">
        <v>1348</v>
      </c>
      <c r="E341" s="101">
        <v>0</v>
      </c>
    </row>
    <row r="342" spans="1:5" ht="12.65" customHeight="1">
      <c r="A342" s="11" t="s">
        <v>25</v>
      </c>
      <c r="B342" s="11" t="s">
        <v>7</v>
      </c>
      <c r="C342" s="7">
        <v>988100650</v>
      </c>
      <c r="D342" s="15" t="s">
        <v>784</v>
      </c>
      <c r="E342" s="101">
        <v>0</v>
      </c>
    </row>
    <row r="343" spans="1:5" ht="12.65" customHeight="1">
      <c r="A343" s="11" t="s">
        <v>25</v>
      </c>
      <c r="B343" s="11" t="s">
        <v>41</v>
      </c>
      <c r="C343" s="7">
        <v>988100660</v>
      </c>
      <c r="D343" s="40" t="s">
        <v>175</v>
      </c>
      <c r="E343" s="8">
        <v>15</v>
      </c>
    </row>
    <row r="344" spans="1:5">
      <c r="A344" s="11" t="s">
        <v>40</v>
      </c>
      <c r="B344" s="5" t="s">
        <v>7</v>
      </c>
      <c r="C344" s="7">
        <v>988100661</v>
      </c>
      <c r="D344" s="160" t="s">
        <v>57</v>
      </c>
      <c r="E344" s="101">
        <v>11</v>
      </c>
    </row>
    <row r="345" spans="1:5">
      <c r="A345" s="11" t="s">
        <v>40</v>
      </c>
      <c r="B345" s="5" t="s">
        <v>7</v>
      </c>
      <c r="C345" s="7">
        <v>988100662</v>
      </c>
      <c r="D345" s="15" t="s">
        <v>59</v>
      </c>
      <c r="E345" s="101">
        <v>0</v>
      </c>
    </row>
    <row r="346" spans="1:5" ht="12.65" customHeight="1">
      <c r="A346" s="11" t="s">
        <v>25</v>
      </c>
      <c r="B346" s="11" t="s">
        <v>7</v>
      </c>
      <c r="C346" s="7">
        <v>988100663</v>
      </c>
      <c r="D346" s="15" t="s">
        <v>121</v>
      </c>
      <c r="E346" s="8">
        <v>60</v>
      </c>
    </row>
    <row r="347" spans="1:5" ht="12.65" customHeight="1">
      <c r="A347" s="5" t="s">
        <v>124</v>
      </c>
      <c r="B347" s="5" t="s">
        <v>41</v>
      </c>
      <c r="C347" s="79">
        <v>988100664</v>
      </c>
      <c r="D347" s="314" t="s">
        <v>150</v>
      </c>
      <c r="E347" s="8">
        <v>0</v>
      </c>
    </row>
    <row r="348" spans="1:5" ht="12.65" customHeight="1">
      <c r="A348" s="5" t="s">
        <v>124</v>
      </c>
      <c r="B348" s="5" t="s">
        <v>41</v>
      </c>
      <c r="C348" s="79">
        <v>988100665</v>
      </c>
      <c r="D348" s="314" t="s">
        <v>151</v>
      </c>
      <c r="E348" s="8">
        <v>0</v>
      </c>
    </row>
    <row r="349" spans="1:5">
      <c r="A349" s="5" t="s">
        <v>124</v>
      </c>
      <c r="B349" s="5" t="s">
        <v>41</v>
      </c>
      <c r="C349" s="79">
        <v>988100666</v>
      </c>
      <c r="D349" s="314" t="s">
        <v>152</v>
      </c>
      <c r="E349" s="8">
        <v>0</v>
      </c>
    </row>
    <row r="350" spans="1:5">
      <c r="A350" s="11" t="s">
        <v>89</v>
      </c>
      <c r="B350" s="11" t="s">
        <v>7</v>
      </c>
      <c r="C350" s="7">
        <v>988100667</v>
      </c>
      <c r="D350" s="79" t="s">
        <v>120</v>
      </c>
      <c r="E350" s="8">
        <v>28</v>
      </c>
    </row>
    <row r="351" spans="1:5" ht="12.65" customHeight="1">
      <c r="A351" s="11" t="s">
        <v>40</v>
      </c>
      <c r="B351" s="5" t="s">
        <v>7</v>
      </c>
      <c r="C351" s="7">
        <v>988100668</v>
      </c>
      <c r="D351" s="338" t="s">
        <v>155</v>
      </c>
      <c r="E351" s="8">
        <v>26</v>
      </c>
    </row>
    <row r="352" spans="1:5">
      <c r="A352" s="11" t="s">
        <v>6</v>
      </c>
      <c r="B352" s="11" t="s">
        <v>7</v>
      </c>
      <c r="C352" s="7">
        <v>988100673</v>
      </c>
      <c r="D352" s="12" t="s">
        <v>213</v>
      </c>
      <c r="E352" s="8">
        <v>7</v>
      </c>
    </row>
    <row r="353" spans="1:5" ht="12.65" customHeight="1">
      <c r="A353" s="11" t="s">
        <v>6</v>
      </c>
      <c r="B353" s="11" t="s">
        <v>7</v>
      </c>
      <c r="C353" s="7">
        <v>988100674</v>
      </c>
      <c r="D353" s="17" t="s">
        <v>214</v>
      </c>
      <c r="E353" s="8">
        <v>19</v>
      </c>
    </row>
    <row r="354" spans="1:5" ht="12.65" customHeight="1">
      <c r="A354" s="11" t="s">
        <v>6</v>
      </c>
      <c r="B354" s="11" t="s">
        <v>7</v>
      </c>
      <c r="C354" s="7">
        <v>988100675</v>
      </c>
      <c r="D354" s="17" t="s">
        <v>215</v>
      </c>
      <c r="E354" s="8">
        <v>24</v>
      </c>
    </row>
    <row r="355" spans="1:5">
      <c r="A355" s="11" t="s">
        <v>6</v>
      </c>
      <c r="B355" s="11" t="s">
        <v>7</v>
      </c>
      <c r="C355" s="7">
        <v>988100676</v>
      </c>
      <c r="D355" s="12" t="s">
        <v>216</v>
      </c>
      <c r="E355" s="8">
        <v>29</v>
      </c>
    </row>
    <row r="356" spans="1:5" ht="12.65" customHeight="1">
      <c r="A356" s="11" t="s">
        <v>25</v>
      </c>
      <c r="B356" s="11" t="s">
        <v>41</v>
      </c>
      <c r="C356" s="56">
        <v>988100677</v>
      </c>
      <c r="D356" s="30" t="s">
        <v>169</v>
      </c>
      <c r="E356" s="8">
        <v>0</v>
      </c>
    </row>
    <row r="357" spans="1:5" ht="12.65" customHeight="1">
      <c r="A357" s="11" t="s">
        <v>25</v>
      </c>
      <c r="B357" s="11" t="s">
        <v>41</v>
      </c>
      <c r="C357" s="7">
        <v>988100678</v>
      </c>
      <c r="D357" s="17" t="s">
        <v>170</v>
      </c>
      <c r="E357" s="8">
        <v>0</v>
      </c>
    </row>
    <row r="358" spans="1:5" ht="12.65" customHeight="1">
      <c r="A358" s="11" t="s">
        <v>6</v>
      </c>
      <c r="B358" s="11" t="s">
        <v>41</v>
      </c>
      <c r="C358" s="7">
        <v>988100680</v>
      </c>
      <c r="D358" s="314" t="s">
        <v>172</v>
      </c>
      <c r="E358" s="8">
        <v>0</v>
      </c>
    </row>
    <row r="359" spans="1:5" ht="12.65" customHeight="1">
      <c r="A359" s="11" t="s">
        <v>6</v>
      </c>
      <c r="B359" s="11" t="s">
        <v>7</v>
      </c>
      <c r="C359" s="7">
        <v>988100681</v>
      </c>
      <c r="D359" s="314" t="s">
        <v>217</v>
      </c>
      <c r="E359" s="8">
        <v>15</v>
      </c>
    </row>
    <row r="360" spans="1:5">
      <c r="A360" s="11" t="s">
        <v>40</v>
      </c>
      <c r="B360" s="11" t="s">
        <v>41</v>
      </c>
      <c r="C360" s="313">
        <v>988100682</v>
      </c>
      <c r="D360" s="310" t="s">
        <v>221</v>
      </c>
      <c r="E360" s="8">
        <v>0</v>
      </c>
    </row>
    <row r="361" spans="1:5" ht="12.65" customHeight="1">
      <c r="A361" s="11" t="s">
        <v>40</v>
      </c>
      <c r="B361" s="11" t="s">
        <v>41</v>
      </c>
      <c r="C361" s="313">
        <v>988100683</v>
      </c>
      <c r="D361" s="310" t="s">
        <v>223</v>
      </c>
      <c r="E361" s="8">
        <v>3</v>
      </c>
    </row>
    <row r="362" spans="1:5" ht="12.65" customHeight="1">
      <c r="A362" s="11" t="s">
        <v>40</v>
      </c>
      <c r="B362" s="11" t="s">
        <v>41</v>
      </c>
      <c r="C362" s="313">
        <v>988100684</v>
      </c>
      <c r="D362" s="17" t="s">
        <v>225</v>
      </c>
      <c r="E362" s="8">
        <v>15</v>
      </c>
    </row>
    <row r="363" spans="1:5" ht="12.65" customHeight="1">
      <c r="A363" s="11" t="s">
        <v>40</v>
      </c>
      <c r="B363" s="11" t="s">
        <v>41</v>
      </c>
      <c r="C363" s="313">
        <v>988100685</v>
      </c>
      <c r="D363" s="17" t="s">
        <v>227</v>
      </c>
      <c r="E363" s="8">
        <v>24</v>
      </c>
    </row>
    <row r="364" spans="1:5" ht="12.65" customHeight="1">
      <c r="A364" s="11" t="s">
        <v>6</v>
      </c>
      <c r="B364" s="11" t="s">
        <v>41</v>
      </c>
      <c r="C364" s="313">
        <v>988100686</v>
      </c>
      <c r="D364" s="12" t="s">
        <v>173</v>
      </c>
      <c r="E364" s="8">
        <v>0</v>
      </c>
    </row>
    <row r="365" spans="1:5" ht="12.65" customHeight="1">
      <c r="A365" s="11" t="s">
        <v>25</v>
      </c>
      <c r="B365" s="5" t="s">
        <v>7</v>
      </c>
      <c r="C365" s="313">
        <v>988100688</v>
      </c>
      <c r="D365" s="314" t="s">
        <v>177</v>
      </c>
      <c r="E365" s="8">
        <v>0</v>
      </c>
    </row>
    <row r="366" spans="1:5" ht="12.65" customHeight="1">
      <c r="A366" s="11" t="s">
        <v>25</v>
      </c>
      <c r="B366" s="5" t="s">
        <v>7</v>
      </c>
      <c r="C366" s="313">
        <v>988100689</v>
      </c>
      <c r="D366" s="314" t="s">
        <v>178</v>
      </c>
      <c r="E366" s="8">
        <v>0</v>
      </c>
    </row>
    <row r="367" spans="1:5" ht="12.65" customHeight="1">
      <c r="A367" s="11" t="s">
        <v>25</v>
      </c>
      <c r="B367" s="5" t="s">
        <v>7</v>
      </c>
      <c r="C367" s="313">
        <v>988100690</v>
      </c>
      <c r="D367" s="314" t="s">
        <v>179</v>
      </c>
      <c r="E367" s="8">
        <v>0</v>
      </c>
    </row>
    <row r="368" spans="1:5" ht="12.65" customHeight="1">
      <c r="A368" s="11" t="s">
        <v>25</v>
      </c>
      <c r="B368" s="5" t="s">
        <v>7</v>
      </c>
      <c r="C368" s="313">
        <v>988100691</v>
      </c>
      <c r="D368" s="79" t="s">
        <v>180</v>
      </c>
      <c r="E368" s="8">
        <v>0</v>
      </c>
    </row>
    <row r="369" spans="1:5" ht="12.65" customHeight="1">
      <c r="A369" s="11" t="s">
        <v>25</v>
      </c>
      <c r="B369" s="5" t="s">
        <v>7</v>
      </c>
      <c r="C369" s="339">
        <v>988100692</v>
      </c>
      <c r="D369" s="340" t="s">
        <v>185</v>
      </c>
      <c r="E369" s="8">
        <v>0</v>
      </c>
    </row>
    <row r="370" spans="1:5" ht="12.65" customHeight="1">
      <c r="A370" s="11" t="s">
        <v>25</v>
      </c>
      <c r="B370" s="11" t="s">
        <v>41</v>
      </c>
      <c r="C370" s="339">
        <v>988100694</v>
      </c>
      <c r="D370" s="340" t="s">
        <v>195</v>
      </c>
      <c r="E370" s="8">
        <v>4</v>
      </c>
    </row>
    <row r="371" spans="1:5" ht="12.65" customHeight="1">
      <c r="A371" s="11" t="s">
        <v>25</v>
      </c>
      <c r="B371" s="11" t="s">
        <v>41</v>
      </c>
      <c r="C371" s="339">
        <v>988100695</v>
      </c>
      <c r="D371" s="340" t="s">
        <v>197</v>
      </c>
      <c r="E371" s="8">
        <v>0</v>
      </c>
    </row>
    <row r="372" spans="1:5" ht="12.65" customHeight="1">
      <c r="A372" s="11" t="s">
        <v>25</v>
      </c>
      <c r="B372" s="11" t="s">
        <v>41</v>
      </c>
      <c r="C372" s="339">
        <v>988100696</v>
      </c>
      <c r="D372" s="340" t="s">
        <v>199</v>
      </c>
      <c r="E372" s="8">
        <v>1</v>
      </c>
    </row>
    <row r="373" spans="1:5" ht="12.65" customHeight="1">
      <c r="A373" s="11" t="s">
        <v>25</v>
      </c>
      <c r="B373" s="11" t="s">
        <v>41</v>
      </c>
      <c r="C373" s="341">
        <v>988100697</v>
      </c>
      <c r="D373" s="342" t="s">
        <v>201</v>
      </c>
      <c r="E373" s="8">
        <v>0</v>
      </c>
    </row>
    <row r="374" spans="1:5" ht="12.65" customHeight="1">
      <c r="A374" s="11" t="s">
        <v>25</v>
      </c>
      <c r="B374" s="11" t="s">
        <v>41</v>
      </c>
      <c r="C374" s="341">
        <v>988100698</v>
      </c>
      <c r="D374" s="340" t="s">
        <v>203</v>
      </c>
      <c r="E374" s="8">
        <v>4</v>
      </c>
    </row>
    <row r="375" spans="1:5" ht="12.65" customHeight="1">
      <c r="A375" s="11" t="s">
        <v>25</v>
      </c>
      <c r="B375" s="11" t="s">
        <v>41</v>
      </c>
      <c r="C375" s="339">
        <v>988100699</v>
      </c>
      <c r="D375" s="340" t="s">
        <v>205</v>
      </c>
      <c r="E375" s="8">
        <v>3</v>
      </c>
    </row>
    <row r="376" spans="1:5" ht="12.65" customHeight="1">
      <c r="A376" s="11" t="s">
        <v>25</v>
      </c>
      <c r="B376" s="11" t="s">
        <v>41</v>
      </c>
      <c r="C376" s="339">
        <v>988100700</v>
      </c>
      <c r="D376" s="340" t="s">
        <v>207</v>
      </c>
      <c r="E376" s="8">
        <v>4</v>
      </c>
    </row>
    <row r="377" spans="1:5" ht="12.65" customHeight="1">
      <c r="A377" s="5" t="s">
        <v>25</v>
      </c>
      <c r="B377" s="5" t="s">
        <v>41</v>
      </c>
      <c r="C377" s="339">
        <v>988100701</v>
      </c>
      <c r="D377" s="314" t="s">
        <v>209</v>
      </c>
      <c r="E377" s="8">
        <v>0</v>
      </c>
    </row>
    <row r="378" spans="1:5">
      <c r="A378" s="11" t="s">
        <v>40</v>
      </c>
      <c r="B378" s="11" t="s">
        <v>41</v>
      </c>
      <c r="C378" s="313">
        <v>988100704</v>
      </c>
      <c r="D378" s="314" t="s">
        <v>231</v>
      </c>
      <c r="E378" s="8">
        <v>20</v>
      </c>
    </row>
    <row r="379" spans="1:5">
      <c r="A379" s="11" t="s">
        <v>25</v>
      </c>
      <c r="B379" s="11" t="s">
        <v>7</v>
      </c>
      <c r="C379" s="313">
        <v>988100707</v>
      </c>
      <c r="D379" s="314" t="s">
        <v>233</v>
      </c>
      <c r="E379" s="8">
        <v>0</v>
      </c>
    </row>
    <row r="380" spans="1:5">
      <c r="A380" s="5" t="s">
        <v>25</v>
      </c>
      <c r="B380" s="5" t="s">
        <v>41</v>
      </c>
      <c r="C380" s="313">
        <v>988100708</v>
      </c>
      <c r="D380" s="314" t="s">
        <v>235</v>
      </c>
      <c r="E380" s="8">
        <v>0</v>
      </c>
    </row>
    <row r="381" spans="1:5">
      <c r="A381" s="5" t="s">
        <v>40</v>
      </c>
      <c r="B381" s="5" t="s">
        <v>41</v>
      </c>
      <c r="C381" s="313">
        <v>988100709</v>
      </c>
      <c r="D381" s="314" t="s">
        <v>236</v>
      </c>
      <c r="E381" s="8">
        <v>0</v>
      </c>
    </row>
    <row r="382" spans="1:5">
      <c r="A382" s="5" t="s">
        <v>25</v>
      </c>
      <c r="B382" s="5" t="s">
        <v>7</v>
      </c>
      <c r="C382" s="313">
        <v>988100712</v>
      </c>
      <c r="D382" s="314" t="s">
        <v>250</v>
      </c>
      <c r="E382" s="8">
        <v>0</v>
      </c>
    </row>
    <row r="383" spans="1:5">
      <c r="A383" s="5" t="s">
        <v>6</v>
      </c>
      <c r="B383" s="5" t="s">
        <v>7</v>
      </c>
      <c r="C383" s="313">
        <v>988100714</v>
      </c>
      <c r="D383" s="314" t="s">
        <v>560</v>
      </c>
      <c r="E383" s="8">
        <v>10</v>
      </c>
    </row>
    <row r="384" spans="1:5">
      <c r="A384" s="5" t="s">
        <v>6</v>
      </c>
      <c r="B384" s="5" t="s">
        <v>7</v>
      </c>
      <c r="C384" s="313">
        <v>988100715</v>
      </c>
      <c r="D384" s="314" t="s">
        <v>561</v>
      </c>
      <c r="E384" s="8">
        <v>0</v>
      </c>
    </row>
    <row r="385" spans="1:5">
      <c r="A385" s="5" t="s">
        <v>25</v>
      </c>
      <c r="B385" s="5" t="s">
        <v>7</v>
      </c>
      <c r="C385" s="313">
        <v>988100716</v>
      </c>
      <c r="D385" s="314" t="s">
        <v>244</v>
      </c>
      <c r="E385" s="8">
        <v>0</v>
      </c>
    </row>
    <row r="386" spans="1:5">
      <c r="A386" s="5" t="s">
        <v>25</v>
      </c>
      <c r="B386" s="5" t="s">
        <v>7</v>
      </c>
      <c r="C386" s="313">
        <v>988100717</v>
      </c>
      <c r="D386" s="79" t="s">
        <v>562</v>
      </c>
      <c r="E386" s="8">
        <v>0</v>
      </c>
    </row>
    <row r="387" spans="1:5">
      <c r="A387" s="5" t="s">
        <v>25</v>
      </c>
      <c r="B387" s="5" t="s">
        <v>7</v>
      </c>
      <c r="C387" s="313">
        <v>988100718</v>
      </c>
      <c r="D387" s="79" t="s">
        <v>563</v>
      </c>
      <c r="E387" s="8">
        <v>0</v>
      </c>
    </row>
    <row r="388" spans="1:5">
      <c r="A388" s="5" t="s">
        <v>25</v>
      </c>
      <c r="B388" s="5" t="s">
        <v>7</v>
      </c>
      <c r="C388" s="313">
        <v>988100719</v>
      </c>
      <c r="D388" s="79" t="s">
        <v>564</v>
      </c>
      <c r="E388" s="8">
        <v>0</v>
      </c>
    </row>
    <row r="389" spans="1:5">
      <c r="A389" s="5" t="s">
        <v>25</v>
      </c>
      <c r="B389" s="5" t="s">
        <v>7</v>
      </c>
      <c r="C389" s="313">
        <v>988100720</v>
      </c>
      <c r="D389" s="79" t="s">
        <v>565</v>
      </c>
      <c r="E389" s="8">
        <v>0</v>
      </c>
    </row>
    <row r="390" spans="1:5">
      <c r="A390" s="5" t="s">
        <v>25</v>
      </c>
      <c r="B390" s="5" t="s">
        <v>7</v>
      </c>
      <c r="C390" s="313">
        <v>988100721</v>
      </c>
      <c r="D390" s="79" t="s">
        <v>567</v>
      </c>
      <c r="E390" s="8">
        <v>0</v>
      </c>
    </row>
    <row r="391" spans="1:5">
      <c r="A391" s="5" t="s">
        <v>25</v>
      </c>
      <c r="B391" s="5" t="s">
        <v>7</v>
      </c>
      <c r="C391" s="313">
        <v>988100722</v>
      </c>
      <c r="D391" s="79" t="s">
        <v>269</v>
      </c>
      <c r="E391" s="8">
        <v>0</v>
      </c>
    </row>
    <row r="392" spans="1:5">
      <c r="A392" s="5" t="s">
        <v>25</v>
      </c>
      <c r="B392" s="5" t="s">
        <v>7</v>
      </c>
      <c r="C392" s="313">
        <v>988100723</v>
      </c>
      <c r="D392" s="79" t="s">
        <v>568</v>
      </c>
      <c r="E392" s="8">
        <v>0</v>
      </c>
    </row>
    <row r="393" spans="1:5">
      <c r="A393" s="5" t="s">
        <v>25</v>
      </c>
      <c r="B393" s="5" t="s">
        <v>7</v>
      </c>
      <c r="C393" s="313">
        <v>988100724</v>
      </c>
      <c r="D393" s="79" t="s">
        <v>569</v>
      </c>
      <c r="E393" s="8">
        <v>0</v>
      </c>
    </row>
    <row r="394" spans="1:5">
      <c r="A394" s="5" t="s">
        <v>25</v>
      </c>
      <c r="B394" s="5" t="s">
        <v>41</v>
      </c>
      <c r="C394" s="313">
        <v>988100727</v>
      </c>
      <c r="D394" s="314" t="s">
        <v>245</v>
      </c>
      <c r="E394" s="8">
        <v>1</v>
      </c>
    </row>
    <row r="395" spans="1:5">
      <c r="A395" s="5" t="s">
        <v>25</v>
      </c>
      <c r="B395" s="5" t="s">
        <v>41</v>
      </c>
      <c r="C395" s="313">
        <v>988100737</v>
      </c>
      <c r="D395" s="314" t="s">
        <v>248</v>
      </c>
      <c r="E395" s="8">
        <v>2</v>
      </c>
    </row>
    <row r="396" spans="1:5" ht="12.65" customHeight="1">
      <c r="A396" s="5" t="s">
        <v>6</v>
      </c>
      <c r="B396" s="5" t="s">
        <v>7</v>
      </c>
      <c r="C396" s="313">
        <v>988100738</v>
      </c>
      <c r="D396" s="314" t="s">
        <v>251</v>
      </c>
      <c r="E396" s="8">
        <v>0</v>
      </c>
    </row>
    <row r="397" spans="1:5" ht="12.65" customHeight="1">
      <c r="A397" s="11" t="s">
        <v>40</v>
      </c>
      <c r="B397" s="11" t="s">
        <v>41</v>
      </c>
      <c r="C397" s="313">
        <v>988100739</v>
      </c>
      <c r="D397" s="314" t="s">
        <v>262</v>
      </c>
      <c r="E397" s="8">
        <v>0</v>
      </c>
    </row>
    <row r="398" spans="1:5" ht="12.65" customHeight="1">
      <c r="A398" s="11" t="s">
        <v>40</v>
      </c>
      <c r="B398" s="11" t="s">
        <v>41</v>
      </c>
      <c r="C398" s="313">
        <v>988100740</v>
      </c>
      <c r="D398" s="314" t="s">
        <v>580</v>
      </c>
      <c r="E398" s="8">
        <v>0</v>
      </c>
    </row>
    <row r="399" spans="1:5" ht="12.65" customHeight="1">
      <c r="A399" s="11" t="s">
        <v>40</v>
      </c>
      <c r="B399" s="11" t="s">
        <v>41</v>
      </c>
      <c r="C399" s="313">
        <v>988100741</v>
      </c>
      <c r="D399" s="314" t="s">
        <v>581</v>
      </c>
      <c r="E399" s="8">
        <v>0</v>
      </c>
    </row>
    <row r="400" spans="1:5" ht="12.65" customHeight="1">
      <c r="A400" s="11" t="s">
        <v>40</v>
      </c>
      <c r="B400" s="11" t="s">
        <v>41</v>
      </c>
      <c r="C400" s="313">
        <v>988100742</v>
      </c>
      <c r="D400" s="314" t="s">
        <v>582</v>
      </c>
      <c r="E400" s="8">
        <v>0</v>
      </c>
    </row>
    <row r="401" spans="1:5" ht="12.65" customHeight="1">
      <c r="A401" s="11" t="s">
        <v>40</v>
      </c>
      <c r="B401" s="11" t="s">
        <v>41</v>
      </c>
      <c r="C401" s="313">
        <v>988100743</v>
      </c>
      <c r="D401" s="314" t="s">
        <v>583</v>
      </c>
      <c r="E401" s="8">
        <v>0</v>
      </c>
    </row>
    <row r="402" spans="1:5" ht="12.65" customHeight="1">
      <c r="A402" s="11" t="s">
        <v>40</v>
      </c>
      <c r="B402" s="11" t="s">
        <v>41</v>
      </c>
      <c r="C402" s="313">
        <v>988100744</v>
      </c>
      <c r="D402" s="314" t="s">
        <v>584</v>
      </c>
      <c r="E402" s="8">
        <v>1</v>
      </c>
    </row>
    <row r="403" spans="1:5" ht="12.65" customHeight="1">
      <c r="A403" s="11" t="s">
        <v>40</v>
      </c>
      <c r="B403" s="11" t="s">
        <v>41</v>
      </c>
      <c r="C403" s="313">
        <v>988100745</v>
      </c>
      <c r="D403" s="314" t="s">
        <v>585</v>
      </c>
      <c r="E403" s="8">
        <v>1</v>
      </c>
    </row>
    <row r="404" spans="1:5" ht="12.65" customHeight="1">
      <c r="A404" s="11" t="s">
        <v>40</v>
      </c>
      <c r="B404" s="11" t="s">
        <v>41</v>
      </c>
      <c r="C404" s="313">
        <v>988100746</v>
      </c>
      <c r="D404" s="314" t="s">
        <v>263</v>
      </c>
      <c r="E404" s="8">
        <v>0</v>
      </c>
    </row>
    <row r="405" spans="1:5" ht="12.65" customHeight="1">
      <c r="A405" s="11" t="s">
        <v>6</v>
      </c>
      <c r="B405" s="11" t="s">
        <v>7</v>
      </c>
      <c r="C405" s="341">
        <v>988100005</v>
      </c>
      <c r="D405" s="314" t="s">
        <v>590</v>
      </c>
      <c r="E405" s="8">
        <v>23</v>
      </c>
    </row>
    <row r="406" spans="1:5" ht="12.65" customHeight="1">
      <c r="A406" s="11" t="s">
        <v>25</v>
      </c>
      <c r="B406" s="11" t="s">
        <v>7</v>
      </c>
      <c r="C406" s="341">
        <v>988100734</v>
      </c>
      <c r="D406" s="314" t="s">
        <v>576</v>
      </c>
      <c r="E406" s="8">
        <v>0</v>
      </c>
    </row>
    <row r="407" spans="1:5" ht="12.65" customHeight="1">
      <c r="A407" s="11" t="s">
        <v>25</v>
      </c>
      <c r="B407" s="11" t="s">
        <v>7</v>
      </c>
      <c r="C407" s="341">
        <v>200371</v>
      </c>
      <c r="D407" s="314" t="s">
        <v>187</v>
      </c>
      <c r="E407" s="8">
        <v>0</v>
      </c>
    </row>
    <row r="408" spans="1:5" ht="12.65" customHeight="1">
      <c r="A408" s="11" t="s">
        <v>6</v>
      </c>
      <c r="B408" s="11" t="s">
        <v>7</v>
      </c>
      <c r="C408" s="343">
        <v>988100006</v>
      </c>
      <c r="D408" s="343" t="s">
        <v>681</v>
      </c>
      <c r="E408" s="8">
        <v>37</v>
      </c>
    </row>
    <row r="409" spans="1:5" ht="12.65" customHeight="1">
      <c r="A409" s="11" t="s">
        <v>25</v>
      </c>
      <c r="B409" s="11" t="s">
        <v>41</v>
      </c>
      <c r="C409" s="344" t="s">
        <v>1349</v>
      </c>
      <c r="D409" s="314" t="s">
        <v>1350</v>
      </c>
      <c r="E409" s="8">
        <v>4</v>
      </c>
    </row>
    <row r="410" spans="1:5" ht="12.65" customHeight="1">
      <c r="A410" s="11"/>
      <c r="B410" s="11"/>
      <c r="C410" s="341"/>
      <c r="D410" s="314"/>
      <c r="E410" s="8"/>
    </row>
    <row r="411" spans="1:5" ht="12.65" customHeight="1">
      <c r="A411" s="11"/>
      <c r="B411" s="11"/>
      <c r="C411" s="341"/>
      <c r="D411" s="314"/>
      <c r="E411" s="8"/>
    </row>
    <row r="412" spans="1:5" ht="12.65" customHeight="1">
      <c r="A412" s="11"/>
      <c r="B412" s="11"/>
      <c r="C412" s="341"/>
      <c r="D412" s="314"/>
      <c r="E412" s="8"/>
    </row>
    <row r="413" spans="1:5" ht="12.65" customHeight="1">
      <c r="A413" s="5"/>
      <c r="B413" s="5"/>
      <c r="C413" s="313"/>
      <c r="D413" s="314"/>
      <c r="E413" s="8"/>
    </row>
    <row r="414" spans="1:5" ht="13">
      <c r="A414" s="33"/>
      <c r="B414" s="33"/>
      <c r="C414" s="121"/>
      <c r="D414" s="73"/>
      <c r="E414" s="345">
        <f>SUM(Table17[STOK OPNAME])</f>
        <v>3236</v>
      </c>
    </row>
  </sheetData>
  <conditionalFormatting sqref="C278">
    <cfRule type="duplicateValues" dxfId="184" priority="5"/>
  </conditionalFormatting>
  <conditionalFormatting sqref="D2:D178">
    <cfRule type="duplicateValues" dxfId="183" priority="107"/>
  </conditionalFormatting>
  <conditionalFormatting sqref="D2:D213 D215:D261">
    <cfRule type="duplicateValues" dxfId="182" priority="155"/>
  </conditionalFormatting>
  <conditionalFormatting sqref="D3">
    <cfRule type="duplicateValues" dxfId="181" priority="143"/>
  </conditionalFormatting>
  <conditionalFormatting sqref="D4">
    <cfRule type="duplicateValues" dxfId="180" priority="142"/>
  </conditionalFormatting>
  <conditionalFormatting sqref="D5">
    <cfRule type="duplicateValues" dxfId="179" priority="141"/>
  </conditionalFormatting>
  <conditionalFormatting sqref="D7">
    <cfRule type="duplicateValues" dxfId="178" priority="161"/>
  </conditionalFormatting>
  <conditionalFormatting sqref="D8">
    <cfRule type="duplicateValues" dxfId="177" priority="140"/>
  </conditionalFormatting>
  <conditionalFormatting sqref="D9">
    <cfRule type="duplicateValues" dxfId="176" priority="139"/>
  </conditionalFormatting>
  <conditionalFormatting sqref="D10">
    <cfRule type="duplicateValues" dxfId="175" priority="138"/>
  </conditionalFormatting>
  <conditionalFormatting sqref="D11">
    <cfRule type="duplicateValues" dxfId="174" priority="137"/>
  </conditionalFormatting>
  <conditionalFormatting sqref="D12:D14">
    <cfRule type="duplicateValues" dxfId="173" priority="136"/>
  </conditionalFormatting>
  <conditionalFormatting sqref="D15">
    <cfRule type="duplicateValues" dxfId="172" priority="135"/>
  </conditionalFormatting>
  <conditionalFormatting sqref="D16">
    <cfRule type="duplicateValues" dxfId="171" priority="134"/>
  </conditionalFormatting>
  <conditionalFormatting sqref="D17">
    <cfRule type="duplicateValues" dxfId="170" priority="133"/>
  </conditionalFormatting>
  <conditionalFormatting sqref="D18">
    <cfRule type="duplicateValues" dxfId="169" priority="132"/>
  </conditionalFormatting>
  <conditionalFormatting sqref="D19:D20">
    <cfRule type="duplicateValues" dxfId="168" priority="131"/>
  </conditionalFormatting>
  <conditionalFormatting sqref="D20">
    <cfRule type="duplicateValues" dxfId="167" priority="117"/>
  </conditionalFormatting>
  <conditionalFormatting sqref="D21">
    <cfRule type="duplicateValues" dxfId="166" priority="130"/>
  </conditionalFormatting>
  <conditionalFormatting sqref="D22">
    <cfRule type="duplicateValues" dxfId="165" priority="129"/>
  </conditionalFormatting>
  <conditionalFormatting sqref="D23">
    <cfRule type="duplicateValues" dxfId="164" priority="128"/>
  </conditionalFormatting>
  <conditionalFormatting sqref="D24:D30">
    <cfRule type="duplicateValues" dxfId="163" priority="127"/>
  </conditionalFormatting>
  <conditionalFormatting sqref="D31">
    <cfRule type="duplicateValues" dxfId="162" priority="162"/>
  </conditionalFormatting>
  <conditionalFormatting sqref="D32">
    <cfRule type="duplicateValues" dxfId="161" priority="126"/>
  </conditionalFormatting>
  <conditionalFormatting sqref="D33">
    <cfRule type="duplicateValues" dxfId="160" priority="125"/>
  </conditionalFormatting>
  <conditionalFormatting sqref="D36">
    <cfRule type="duplicateValues" dxfId="159" priority="124"/>
  </conditionalFormatting>
  <conditionalFormatting sqref="D37">
    <cfRule type="duplicateValues" dxfId="158" priority="123"/>
  </conditionalFormatting>
  <conditionalFormatting sqref="D38">
    <cfRule type="duplicateValues" dxfId="157" priority="122"/>
  </conditionalFormatting>
  <conditionalFormatting sqref="D39:D40">
    <cfRule type="duplicateValues" dxfId="156" priority="121"/>
  </conditionalFormatting>
  <conditionalFormatting sqref="D40">
    <cfRule type="duplicateValues" dxfId="155" priority="118"/>
  </conditionalFormatting>
  <conditionalFormatting sqref="D41:D70 D72">
    <cfRule type="duplicateValues" dxfId="154" priority="120"/>
  </conditionalFormatting>
  <conditionalFormatting sqref="D67">
    <cfRule type="duplicateValues" dxfId="153" priority="116"/>
  </conditionalFormatting>
  <conditionalFormatting sqref="D68:D70 D72">
    <cfRule type="duplicateValues" dxfId="152" priority="115"/>
  </conditionalFormatting>
  <conditionalFormatting sqref="D69">
    <cfRule type="duplicateValues" dxfId="151" priority="114"/>
  </conditionalFormatting>
  <conditionalFormatting sqref="D70">
    <cfRule type="duplicateValues" dxfId="150" priority="113"/>
  </conditionalFormatting>
  <conditionalFormatting sqref="D72">
    <cfRule type="duplicateValues" dxfId="149" priority="112"/>
  </conditionalFormatting>
  <conditionalFormatting sqref="D77">
    <cfRule type="duplicateValues" dxfId="148" priority="111"/>
  </conditionalFormatting>
  <conditionalFormatting sqref="D77:D93">
    <cfRule type="duplicateValues" dxfId="147" priority="110"/>
  </conditionalFormatting>
  <conditionalFormatting sqref="D79:D93">
    <cfRule type="duplicateValues" dxfId="146" priority="109"/>
  </conditionalFormatting>
  <conditionalFormatting sqref="D80:D93">
    <cfRule type="duplicateValues" dxfId="145" priority="108"/>
  </conditionalFormatting>
  <conditionalFormatting sqref="D96">
    <cfRule type="duplicateValues" dxfId="144" priority="119"/>
  </conditionalFormatting>
  <conditionalFormatting sqref="D174">
    <cfRule type="duplicateValues" dxfId="143" priority="68"/>
  </conditionalFormatting>
  <conditionalFormatting sqref="D175:D196 D2:D173 D324:D334 D276:D321">
    <cfRule type="duplicateValues" dxfId="142" priority="69"/>
  </conditionalFormatting>
  <conditionalFormatting sqref="D177:D178">
    <cfRule type="duplicateValues" dxfId="141" priority="106"/>
  </conditionalFormatting>
  <conditionalFormatting sqref="D178">
    <cfRule type="duplicateValues" dxfId="140" priority="62"/>
  </conditionalFormatting>
  <conditionalFormatting sqref="D187">
    <cfRule type="duplicateValues" dxfId="139" priority="105"/>
  </conditionalFormatting>
  <conditionalFormatting sqref="D188:D193">
    <cfRule type="duplicateValues" dxfId="138" priority="104"/>
  </conditionalFormatting>
  <conditionalFormatting sqref="D191:D193">
    <cfRule type="duplicateValues" dxfId="137" priority="103"/>
  </conditionalFormatting>
  <conditionalFormatting sqref="D191:D196">
    <cfRule type="duplicateValues" dxfId="136" priority="55"/>
  </conditionalFormatting>
  <conditionalFormatting sqref="D194:D196">
    <cfRule type="duplicateValues" dxfId="135" priority="56"/>
  </conditionalFormatting>
  <conditionalFormatting sqref="D196">
    <cfRule type="duplicateValues" dxfId="134" priority="102"/>
  </conditionalFormatting>
  <conditionalFormatting sqref="D198:D200">
    <cfRule type="duplicateValues" dxfId="133" priority="67"/>
  </conditionalFormatting>
  <conditionalFormatting sqref="D199:D200">
    <cfRule type="duplicateValues" dxfId="132" priority="66"/>
  </conditionalFormatting>
  <conditionalFormatting sqref="D200:D207">
    <cfRule type="duplicateValues" dxfId="131" priority="158"/>
  </conditionalFormatting>
  <conditionalFormatting sqref="D201:D207">
    <cfRule type="duplicateValues" dxfId="130" priority="157"/>
  </conditionalFormatting>
  <conditionalFormatting sqref="D203 D205">
    <cfRule type="duplicateValues" dxfId="129" priority="65"/>
  </conditionalFormatting>
  <conditionalFormatting sqref="D205">
    <cfRule type="duplicateValues" dxfId="128" priority="64"/>
  </conditionalFormatting>
  <conditionalFormatting sqref="D208:D213 D215:D243">
    <cfRule type="duplicateValues" dxfId="127" priority="156"/>
  </conditionalFormatting>
  <conditionalFormatting sqref="D212:D213 D215:D232">
    <cfRule type="duplicateValues" dxfId="126" priority="63"/>
  </conditionalFormatting>
  <conditionalFormatting sqref="D214">
    <cfRule type="duplicateValues" dxfId="124" priority="1"/>
    <cfRule type="duplicateValues" dxfId="125" priority="2"/>
    <cfRule type="duplicateValues" dxfId="122" priority="3"/>
    <cfRule type="duplicateValues" dxfId="123" priority="4"/>
  </conditionalFormatting>
  <conditionalFormatting sqref="D215:D232">
    <cfRule type="duplicateValues" dxfId="121" priority="60"/>
    <cfRule type="duplicateValues" dxfId="120" priority="61"/>
  </conditionalFormatting>
  <conditionalFormatting sqref="D217:D232">
    <cfRule type="duplicateValues" dxfId="119" priority="59"/>
  </conditionalFormatting>
  <conditionalFormatting sqref="D218:D232">
    <cfRule type="duplicateValues" dxfId="118" priority="58"/>
  </conditionalFormatting>
  <conditionalFormatting sqref="D219:D232">
    <cfRule type="duplicateValues" dxfId="117" priority="57"/>
  </conditionalFormatting>
  <conditionalFormatting sqref="D231:D232">
    <cfRule type="duplicateValues" dxfId="116" priority="54"/>
  </conditionalFormatting>
  <conditionalFormatting sqref="D237">
    <cfRule type="duplicateValues" dxfId="115" priority="53"/>
  </conditionalFormatting>
  <conditionalFormatting sqref="D240:D241">
    <cfRule type="duplicateValues" dxfId="114" priority="52"/>
  </conditionalFormatting>
  <conditionalFormatting sqref="D241">
    <cfRule type="duplicateValues" dxfId="113" priority="51"/>
  </conditionalFormatting>
  <conditionalFormatting sqref="D242:D262">
    <cfRule type="duplicateValues" dxfId="112" priority="97"/>
  </conditionalFormatting>
  <conditionalFormatting sqref="D243:D246">
    <cfRule type="duplicateValues" dxfId="111" priority="50"/>
  </conditionalFormatting>
  <conditionalFormatting sqref="D243:D262">
    <cfRule type="duplicateValues" dxfId="110" priority="96"/>
  </conditionalFormatting>
  <conditionalFormatting sqref="D244 D246:D261">
    <cfRule type="duplicateValues" dxfId="109" priority="160"/>
  </conditionalFormatting>
  <conditionalFormatting sqref="D244:D262">
    <cfRule type="duplicateValues" dxfId="108" priority="95"/>
  </conditionalFormatting>
  <conditionalFormatting sqref="D249:D275">
    <cfRule type="duplicateValues" dxfId="107" priority="49"/>
  </conditionalFormatting>
  <conditionalFormatting sqref="D250:D275">
    <cfRule type="duplicateValues" dxfId="106" priority="48"/>
  </conditionalFormatting>
  <conditionalFormatting sqref="D251:D275">
    <cfRule type="duplicateValues" dxfId="105" priority="47"/>
  </conditionalFormatting>
  <conditionalFormatting sqref="D252:D262">
    <cfRule type="duplicateValues" dxfId="104" priority="94"/>
  </conditionalFormatting>
  <conditionalFormatting sqref="D254">
    <cfRule type="duplicateValues" dxfId="103" priority="101"/>
  </conditionalFormatting>
  <conditionalFormatting sqref="D255">
    <cfRule type="duplicateValues" dxfId="102" priority="100"/>
  </conditionalFormatting>
  <conditionalFormatting sqref="D256">
    <cfRule type="duplicateValues" dxfId="101" priority="99"/>
  </conditionalFormatting>
  <conditionalFormatting sqref="D257">
    <cfRule type="duplicateValues" dxfId="100" priority="98"/>
  </conditionalFormatting>
  <conditionalFormatting sqref="D258:D261">
    <cfRule type="duplicateValues" dxfId="99" priority="159"/>
  </conditionalFormatting>
  <conditionalFormatting sqref="D258:D262">
    <cfRule type="duplicateValues" dxfId="98" priority="93"/>
  </conditionalFormatting>
  <conditionalFormatting sqref="D258:D275">
    <cfRule type="duplicateValues" dxfId="97" priority="46"/>
  </conditionalFormatting>
  <conditionalFormatting sqref="D259:D261">
    <cfRule type="duplicateValues" dxfId="96" priority="154"/>
  </conditionalFormatting>
  <conditionalFormatting sqref="D259:D262">
    <cfRule type="duplicateValues" dxfId="95" priority="92"/>
  </conditionalFormatting>
  <conditionalFormatting sqref="D259:D275">
    <cfRule type="duplicateValues" dxfId="94" priority="45"/>
  </conditionalFormatting>
  <conditionalFormatting sqref="D260:D262">
    <cfRule type="duplicateValues" dxfId="93" priority="91"/>
  </conditionalFormatting>
  <conditionalFormatting sqref="D261:D275">
    <cfRule type="duplicateValues" dxfId="92" priority="44"/>
  </conditionalFormatting>
  <conditionalFormatting sqref="D262">
    <cfRule type="duplicateValues" dxfId="91" priority="90"/>
  </conditionalFormatting>
  <conditionalFormatting sqref="D264:D266">
    <cfRule type="duplicateValues" dxfId="90" priority="153"/>
  </conditionalFormatting>
  <conditionalFormatting sqref="D265:D266">
    <cfRule type="duplicateValues" dxfId="89" priority="152"/>
  </conditionalFormatting>
  <conditionalFormatting sqref="D265:D275">
    <cfRule type="duplicateValues" dxfId="88" priority="43"/>
  </conditionalFormatting>
  <conditionalFormatting sqref="D266">
    <cfRule type="duplicateValues" dxfId="87" priority="151"/>
  </conditionalFormatting>
  <conditionalFormatting sqref="D267">
    <cfRule type="duplicateValues" dxfId="86" priority="42"/>
  </conditionalFormatting>
  <conditionalFormatting sqref="D269">
    <cfRule type="duplicateValues" dxfId="85" priority="150"/>
  </conditionalFormatting>
  <conditionalFormatting sqref="D270:D275">
    <cfRule type="duplicateValues" dxfId="84" priority="41"/>
  </conditionalFormatting>
  <conditionalFormatting sqref="D271">
    <cfRule type="duplicateValues" dxfId="83" priority="38"/>
  </conditionalFormatting>
  <conditionalFormatting sqref="D271:D272">
    <cfRule type="duplicateValues" dxfId="82" priority="39"/>
  </conditionalFormatting>
  <conditionalFormatting sqref="D271:D275">
    <cfRule type="duplicateValues" dxfId="81" priority="40"/>
  </conditionalFormatting>
  <conditionalFormatting sqref="D272">
    <cfRule type="duplicateValues" dxfId="80" priority="37"/>
  </conditionalFormatting>
  <conditionalFormatting sqref="D272:D278">
    <cfRule type="duplicateValues" dxfId="79" priority="149"/>
  </conditionalFormatting>
  <conditionalFormatting sqref="D273:D274">
    <cfRule type="duplicateValues" dxfId="78" priority="36"/>
  </conditionalFormatting>
  <conditionalFormatting sqref="D274:D278">
    <cfRule type="duplicateValues" dxfId="77" priority="148"/>
  </conditionalFormatting>
  <conditionalFormatting sqref="D275:D278">
    <cfRule type="duplicateValues" dxfId="76" priority="147"/>
  </conditionalFormatting>
  <conditionalFormatting sqref="D276:D278">
    <cfRule type="duplicateValues" dxfId="75" priority="146"/>
  </conditionalFormatting>
  <conditionalFormatting sqref="D278">
    <cfRule type="duplicateValues" dxfId="74" priority="89"/>
  </conditionalFormatting>
  <conditionalFormatting sqref="D279">
    <cfRule type="duplicateValues" dxfId="73" priority="88"/>
  </conditionalFormatting>
  <conditionalFormatting sqref="D280:D281">
    <cfRule type="duplicateValues" dxfId="72" priority="145"/>
  </conditionalFormatting>
  <conditionalFormatting sqref="D281">
    <cfRule type="duplicateValues" dxfId="71" priority="144"/>
  </conditionalFormatting>
  <conditionalFormatting sqref="D282:D287">
    <cfRule type="duplicateValues" dxfId="70" priority="87"/>
  </conditionalFormatting>
  <conditionalFormatting sqref="D283:D287">
    <cfRule type="duplicateValues" dxfId="69" priority="86"/>
  </conditionalFormatting>
  <conditionalFormatting sqref="D283:D321 D323:D334">
    <cfRule type="duplicateValues" dxfId="68" priority="169"/>
  </conditionalFormatting>
  <conditionalFormatting sqref="D284">
    <cfRule type="duplicateValues" dxfId="67" priority="84"/>
  </conditionalFormatting>
  <conditionalFormatting sqref="D284:D287">
    <cfRule type="duplicateValues" dxfId="66" priority="85"/>
  </conditionalFormatting>
  <conditionalFormatting sqref="D285">
    <cfRule type="duplicateValues" dxfId="65" priority="83"/>
  </conditionalFormatting>
  <conditionalFormatting sqref="D286">
    <cfRule type="duplicateValues" dxfId="64" priority="82"/>
  </conditionalFormatting>
  <conditionalFormatting sqref="D299:D321">
    <cfRule type="duplicateValues" dxfId="63" priority="31"/>
  </conditionalFormatting>
  <conditionalFormatting sqref="D301:D303">
    <cfRule type="duplicateValues" dxfId="62" priority="30"/>
  </conditionalFormatting>
  <conditionalFormatting sqref="D303">
    <cfRule type="duplicateValues" dxfId="61" priority="28"/>
  </conditionalFormatting>
  <conditionalFormatting sqref="D304">
    <cfRule type="duplicateValues" dxfId="60" priority="29"/>
  </conditionalFormatting>
  <conditionalFormatting sqref="D305">
    <cfRule type="duplicateValues" dxfId="59" priority="27"/>
  </conditionalFormatting>
  <conditionalFormatting sqref="D307:D321 D323:D334">
    <cfRule type="duplicateValues" dxfId="58" priority="163"/>
  </conditionalFormatting>
  <conditionalFormatting sqref="D308">
    <cfRule type="duplicateValues" dxfId="57" priority="25"/>
  </conditionalFormatting>
  <conditionalFormatting sqref="D308:D321 D323:D334">
    <cfRule type="duplicateValues" dxfId="56" priority="164"/>
  </conditionalFormatting>
  <conditionalFormatting sqref="D309:D321 D323:D334">
    <cfRule type="duplicateValues" dxfId="55" priority="165"/>
  </conditionalFormatting>
  <conditionalFormatting sqref="D312:D321 D323:D334">
    <cfRule type="duplicateValues" dxfId="54" priority="166"/>
  </conditionalFormatting>
  <conditionalFormatting sqref="D312:D321">
    <cfRule type="duplicateValues" dxfId="53" priority="23"/>
  </conditionalFormatting>
  <conditionalFormatting sqref="D314:D321">
    <cfRule type="duplicateValues" dxfId="52" priority="21"/>
  </conditionalFormatting>
  <conditionalFormatting sqref="D317">
    <cfRule type="duplicateValues" dxfId="51" priority="20"/>
  </conditionalFormatting>
  <conditionalFormatting sqref="D317:D321">
    <cfRule type="duplicateValues" dxfId="50" priority="17"/>
  </conditionalFormatting>
  <conditionalFormatting sqref="D318">
    <cfRule type="duplicateValues" dxfId="49" priority="81"/>
  </conditionalFormatting>
  <conditionalFormatting sqref="D319">
    <cfRule type="duplicateValues" dxfId="48" priority="19"/>
  </conditionalFormatting>
  <conditionalFormatting sqref="D320">
    <cfRule type="duplicateValues" dxfId="47" priority="80"/>
  </conditionalFormatting>
  <conditionalFormatting sqref="D321 D323:D334">
    <cfRule type="duplicateValues" dxfId="46" priority="167"/>
  </conditionalFormatting>
  <conditionalFormatting sqref="D321">
    <cfRule type="duplicateValues" dxfId="45" priority="18"/>
  </conditionalFormatting>
  <conditionalFormatting sqref="D323">
    <cfRule type="duplicateValues" dxfId="44" priority="78"/>
  </conditionalFormatting>
  <conditionalFormatting sqref="D323:D329 D332:D334">
    <cfRule type="duplicateValues" dxfId="43" priority="168"/>
  </conditionalFormatting>
  <conditionalFormatting sqref="D323:D329">
    <cfRule type="duplicateValues" dxfId="42" priority="79"/>
  </conditionalFormatting>
  <conditionalFormatting sqref="D324">
    <cfRule type="duplicateValues" dxfId="41" priority="77"/>
  </conditionalFormatting>
  <conditionalFormatting sqref="D324:D334 D295:D321">
    <cfRule type="duplicateValues" dxfId="40" priority="35"/>
  </conditionalFormatting>
  <conditionalFormatting sqref="D324:D334 D296:D321">
    <cfRule type="duplicateValues" dxfId="39" priority="34"/>
  </conditionalFormatting>
  <conditionalFormatting sqref="D324:D334 D298:D321">
    <cfRule type="duplicateValues" dxfId="38" priority="33"/>
  </conditionalFormatting>
  <conditionalFormatting sqref="D324:D334 D299:D321">
    <cfRule type="duplicateValues" dxfId="37" priority="32"/>
  </conditionalFormatting>
  <conditionalFormatting sqref="D324:D334 D307:D321">
    <cfRule type="duplicateValues" dxfId="36" priority="26"/>
  </conditionalFormatting>
  <conditionalFormatting sqref="D324:D334 D312:D321">
    <cfRule type="duplicateValues" dxfId="35" priority="24"/>
  </conditionalFormatting>
  <conditionalFormatting sqref="D324:D334 D314:D321">
    <cfRule type="duplicateValues" dxfId="34" priority="22"/>
  </conditionalFormatting>
  <conditionalFormatting sqref="D324:D334">
    <cfRule type="duplicateValues" dxfId="33" priority="16"/>
  </conditionalFormatting>
  <conditionalFormatting sqref="D325">
    <cfRule type="duplicateValues" dxfId="32" priority="76"/>
  </conditionalFormatting>
  <conditionalFormatting sqref="D326">
    <cfRule type="duplicateValues" dxfId="31" priority="75"/>
  </conditionalFormatting>
  <conditionalFormatting sqref="D327">
    <cfRule type="duplicateValues" dxfId="30" priority="74"/>
  </conditionalFormatting>
  <conditionalFormatting sqref="D327:D334">
    <cfRule type="duplicateValues" dxfId="29" priority="15"/>
  </conditionalFormatting>
  <conditionalFormatting sqref="D328">
    <cfRule type="duplicateValues" dxfId="28" priority="73"/>
  </conditionalFormatting>
  <conditionalFormatting sqref="D329">
    <cfRule type="duplicateValues" dxfId="27" priority="72"/>
  </conditionalFormatting>
  <conditionalFormatting sqref="D332">
    <cfRule type="duplicateValues" dxfId="26" priority="71"/>
  </conditionalFormatting>
  <conditionalFormatting sqref="D333">
    <cfRule type="duplicateValues" dxfId="25" priority="70"/>
  </conditionalFormatting>
  <conditionalFormatting sqref="D338">
    <cfRule type="duplicateValues" dxfId="24" priority="14"/>
  </conditionalFormatting>
  <conditionalFormatting sqref="D339">
    <cfRule type="duplicateValues" dxfId="23" priority="13"/>
  </conditionalFormatting>
  <conditionalFormatting sqref="D343">
    <cfRule type="duplicateValues" dxfId="22" priority="12"/>
  </conditionalFormatting>
  <conditionalFormatting sqref="D345">
    <cfRule type="duplicateValues" dxfId="21" priority="11"/>
  </conditionalFormatting>
  <conditionalFormatting sqref="D346:D349">
    <cfRule type="duplicateValues" dxfId="20" priority="10"/>
  </conditionalFormatting>
  <conditionalFormatting sqref="D356:D359">
    <cfRule type="duplicateValues" dxfId="19" priority="9"/>
  </conditionalFormatting>
  <conditionalFormatting sqref="D365">
    <cfRule type="duplicateValues" dxfId="16" priority="6"/>
    <cfRule type="duplicateValues" dxfId="17" priority="7"/>
    <cfRule type="duplicateValues" dxfId="18" priority="8"/>
  </conditionalFormatting>
  <pageMargins left="0.7" right="0.7" top="0.75" bottom="0.75" header="0.3" footer="0.3"/>
  <pageSetup paperSize="2833" orientation="portrait" horizontalDpi="180" verticalDpi="18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3FFA-02B0-4119-83DF-2A7FC342463D}">
  <dimension ref="A1:E480"/>
  <sheetViews>
    <sheetView zoomScale="70" zoomScaleNormal="70" workbookViewId="0">
      <selection activeCell="M44" sqref="M44"/>
    </sheetView>
  </sheetViews>
  <sheetFormatPr defaultColWidth="6.1796875" defaultRowHeight="12.5"/>
  <cols>
    <col min="1" max="1" width="16" style="9" bestFit="1" customWidth="1"/>
    <col min="2" max="2" width="14.1796875" style="9" bestFit="1" customWidth="1"/>
    <col min="3" max="3" width="15.453125" style="154" customWidth="1"/>
    <col min="4" max="4" width="58.54296875" style="9" bestFit="1" customWidth="1"/>
    <col min="5" max="5" width="22.7265625" style="77" customWidth="1"/>
    <col min="6" max="6" width="4.453125" style="9" bestFit="1" customWidth="1"/>
    <col min="7" max="7" width="12.81640625" style="9" customWidth="1"/>
    <col min="8" max="16384" width="6.1796875" style="9"/>
  </cols>
  <sheetData>
    <row r="1" spans="1:5" s="4" customFormat="1" ht="29.15" customHeight="1">
      <c r="A1" s="96" t="s">
        <v>0</v>
      </c>
      <c r="B1" s="96" t="s">
        <v>1</v>
      </c>
      <c r="C1" s="132" t="s">
        <v>2</v>
      </c>
      <c r="D1" s="97" t="s">
        <v>3</v>
      </c>
      <c r="E1" s="98" t="s">
        <v>5</v>
      </c>
    </row>
    <row r="2" spans="1:5">
      <c r="A2" s="11" t="s">
        <v>309</v>
      </c>
      <c r="B2" s="5" t="s">
        <v>41</v>
      </c>
      <c r="C2" s="133">
        <v>988100355</v>
      </c>
      <c r="D2" s="7" t="s">
        <v>310</v>
      </c>
      <c r="E2" s="7">
        <v>1</v>
      </c>
    </row>
    <row r="3" spans="1:5">
      <c r="A3" s="11" t="s">
        <v>309</v>
      </c>
      <c r="B3" s="5" t="s">
        <v>41</v>
      </c>
      <c r="C3" s="133">
        <v>988100344</v>
      </c>
      <c r="D3" s="7" t="s">
        <v>311</v>
      </c>
      <c r="E3" s="8">
        <v>1</v>
      </c>
    </row>
    <row r="4" spans="1:5">
      <c r="A4" s="11" t="s">
        <v>309</v>
      </c>
      <c r="B4" s="5" t="s">
        <v>41</v>
      </c>
      <c r="C4" s="133">
        <v>988100343</v>
      </c>
      <c r="D4" s="7" t="s">
        <v>312</v>
      </c>
      <c r="E4" s="8">
        <v>1</v>
      </c>
    </row>
    <row r="5" spans="1:5">
      <c r="A5" s="11" t="s">
        <v>309</v>
      </c>
      <c r="B5" s="5" t="s">
        <v>41</v>
      </c>
      <c r="C5" s="133">
        <v>988100222</v>
      </c>
      <c r="D5" s="7" t="s">
        <v>313</v>
      </c>
      <c r="E5" s="8">
        <v>1</v>
      </c>
    </row>
    <row r="6" spans="1:5">
      <c r="A6" s="5" t="s">
        <v>6</v>
      </c>
      <c r="B6" s="5" t="s">
        <v>7</v>
      </c>
      <c r="C6" s="134">
        <v>100142</v>
      </c>
      <c r="D6" s="100" t="s">
        <v>256</v>
      </c>
      <c r="E6" s="8">
        <v>43</v>
      </c>
    </row>
    <row r="7" spans="1:5">
      <c r="A7" s="11" t="s">
        <v>25</v>
      </c>
      <c r="B7" s="11" t="s">
        <v>7</v>
      </c>
      <c r="C7" s="133">
        <v>988100571</v>
      </c>
      <c r="D7" s="15" t="s">
        <v>31</v>
      </c>
      <c r="E7" s="101">
        <v>247</v>
      </c>
    </row>
    <row r="8" spans="1:5">
      <c r="A8" s="11" t="s">
        <v>25</v>
      </c>
      <c r="B8" s="5" t="s">
        <v>7</v>
      </c>
      <c r="C8" s="133">
        <v>200205</v>
      </c>
      <c r="D8" s="7" t="s">
        <v>314</v>
      </c>
      <c r="E8" s="101">
        <v>206</v>
      </c>
    </row>
    <row r="9" spans="1:5">
      <c r="A9" s="11" t="s">
        <v>25</v>
      </c>
      <c r="B9" s="11" t="s">
        <v>7</v>
      </c>
      <c r="C9" s="133">
        <v>988100572</v>
      </c>
      <c r="D9" s="15" t="s">
        <v>30</v>
      </c>
      <c r="E9" s="101"/>
    </row>
    <row r="10" spans="1:5">
      <c r="A10" s="11" t="s">
        <v>25</v>
      </c>
      <c r="B10" s="11" t="s">
        <v>7</v>
      </c>
      <c r="C10" s="133">
        <v>988100569</v>
      </c>
      <c r="D10" s="15" t="s">
        <v>29</v>
      </c>
      <c r="E10" s="101">
        <v>222</v>
      </c>
    </row>
    <row r="11" spans="1:5">
      <c r="A11" s="11" t="s">
        <v>25</v>
      </c>
      <c r="B11" s="5" t="s">
        <v>7</v>
      </c>
      <c r="C11" s="133">
        <v>200024</v>
      </c>
      <c r="D11" s="7" t="s">
        <v>315</v>
      </c>
      <c r="E11" s="101"/>
    </row>
    <row r="12" spans="1:5">
      <c r="A12" s="11" t="s">
        <v>25</v>
      </c>
      <c r="B12" s="5" t="s">
        <v>7</v>
      </c>
      <c r="C12" s="133">
        <v>200310</v>
      </c>
      <c r="D12" s="7" t="s">
        <v>316</v>
      </c>
      <c r="E12" s="101"/>
    </row>
    <row r="13" spans="1:5">
      <c r="A13" s="11" t="s">
        <v>25</v>
      </c>
      <c r="B13" s="5" t="s">
        <v>7</v>
      </c>
      <c r="C13" s="133">
        <v>200086</v>
      </c>
      <c r="D13" s="7" t="s">
        <v>317</v>
      </c>
      <c r="E13" s="8"/>
    </row>
    <row r="14" spans="1:5">
      <c r="A14" s="11" t="s">
        <v>25</v>
      </c>
      <c r="B14" s="5" t="s">
        <v>7</v>
      </c>
      <c r="C14" s="133">
        <v>200396</v>
      </c>
      <c r="D14" s="7" t="s">
        <v>318</v>
      </c>
      <c r="E14" s="8"/>
    </row>
    <row r="15" spans="1:5">
      <c r="A15" s="11" t="s">
        <v>25</v>
      </c>
      <c r="B15" s="5" t="s">
        <v>7</v>
      </c>
      <c r="C15" s="133">
        <v>200011</v>
      </c>
      <c r="D15" s="7" t="s">
        <v>319</v>
      </c>
      <c r="E15" s="8"/>
    </row>
    <row r="16" spans="1:5">
      <c r="A16" s="11" t="s">
        <v>25</v>
      </c>
      <c r="B16" s="5" t="s">
        <v>7</v>
      </c>
      <c r="C16" s="133">
        <v>200081</v>
      </c>
      <c r="D16" s="7" t="s">
        <v>320</v>
      </c>
      <c r="E16" s="8"/>
    </row>
    <row r="17" spans="1:5">
      <c r="A17" s="11" t="s">
        <v>25</v>
      </c>
      <c r="B17" s="5" t="s">
        <v>7</v>
      </c>
      <c r="C17" s="133">
        <v>200000</v>
      </c>
      <c r="D17" s="7" t="s">
        <v>321</v>
      </c>
      <c r="E17" s="101"/>
    </row>
    <row r="18" spans="1:5">
      <c r="A18" s="11" t="s">
        <v>25</v>
      </c>
      <c r="B18" s="5" t="s">
        <v>7</v>
      </c>
      <c r="C18" s="133">
        <v>200220</v>
      </c>
      <c r="D18" s="7" t="s">
        <v>322</v>
      </c>
      <c r="E18" s="101"/>
    </row>
    <row r="19" spans="1:5">
      <c r="A19" s="11" t="s">
        <v>25</v>
      </c>
      <c r="B19" s="11" t="s">
        <v>7</v>
      </c>
      <c r="C19" s="133">
        <v>988100613</v>
      </c>
      <c r="D19" s="17" t="s">
        <v>32</v>
      </c>
      <c r="E19" s="101">
        <v>198</v>
      </c>
    </row>
    <row r="20" spans="1:5">
      <c r="A20" s="5"/>
      <c r="B20" s="5"/>
      <c r="C20" s="133">
        <v>988100570</v>
      </c>
      <c r="D20" s="7" t="s">
        <v>53</v>
      </c>
      <c r="E20" s="101"/>
    </row>
    <row r="21" spans="1:5">
      <c r="A21" s="11" t="s">
        <v>40</v>
      </c>
      <c r="B21" s="11" t="s">
        <v>41</v>
      </c>
      <c r="C21" s="133">
        <v>988100570</v>
      </c>
      <c r="D21" s="15" t="s">
        <v>53</v>
      </c>
      <c r="E21" s="101">
        <v>20</v>
      </c>
    </row>
    <row r="22" spans="1:5">
      <c r="A22" s="5" t="s">
        <v>40</v>
      </c>
      <c r="B22" s="5" t="s">
        <v>41</v>
      </c>
      <c r="C22" s="133">
        <v>990116</v>
      </c>
      <c r="D22" s="7" t="s">
        <v>47</v>
      </c>
      <c r="E22" s="101">
        <v>23</v>
      </c>
    </row>
    <row r="23" spans="1:5" s="18" customFormat="1">
      <c r="A23" s="5"/>
      <c r="B23" s="5"/>
      <c r="C23" s="133">
        <v>988100668</v>
      </c>
      <c r="D23" s="7" t="s">
        <v>155</v>
      </c>
      <c r="E23" s="101"/>
    </row>
    <row r="24" spans="1:5">
      <c r="A24" s="5" t="s">
        <v>25</v>
      </c>
      <c r="B24" s="5" t="s">
        <v>41</v>
      </c>
      <c r="C24" s="133">
        <v>988100094</v>
      </c>
      <c r="D24" s="7" t="s">
        <v>323</v>
      </c>
      <c r="E24" s="8"/>
    </row>
    <row r="25" spans="1:5">
      <c r="A25" s="5" t="s">
        <v>25</v>
      </c>
      <c r="B25" s="5" t="s">
        <v>41</v>
      </c>
      <c r="C25" s="133">
        <v>988100095</v>
      </c>
      <c r="D25" s="7" t="s">
        <v>324</v>
      </c>
      <c r="E25" s="8"/>
    </row>
    <row r="26" spans="1:5">
      <c r="A26" s="5" t="s">
        <v>25</v>
      </c>
      <c r="B26" s="5" t="s">
        <v>41</v>
      </c>
      <c r="C26" s="133">
        <v>988100096</v>
      </c>
      <c r="D26" s="7" t="s">
        <v>325</v>
      </c>
      <c r="E26" s="101"/>
    </row>
    <row r="27" spans="1:5">
      <c r="A27" s="5" t="s">
        <v>40</v>
      </c>
      <c r="B27" s="5" t="s">
        <v>41</v>
      </c>
      <c r="C27" s="135">
        <v>988100668</v>
      </c>
      <c r="D27" s="102" t="s">
        <v>155</v>
      </c>
      <c r="E27" s="8">
        <v>15</v>
      </c>
    </row>
    <row r="28" spans="1:5">
      <c r="A28" s="5" t="s">
        <v>40</v>
      </c>
      <c r="B28" s="5" t="s">
        <v>41</v>
      </c>
      <c r="C28" s="133">
        <v>990117</v>
      </c>
      <c r="D28" s="7" t="s">
        <v>49</v>
      </c>
      <c r="E28" s="101">
        <v>10</v>
      </c>
    </row>
    <row r="29" spans="1:5">
      <c r="A29" s="5" t="s">
        <v>40</v>
      </c>
      <c r="B29" s="5" t="s">
        <v>41</v>
      </c>
      <c r="C29" s="133">
        <v>990115</v>
      </c>
      <c r="D29" s="7" t="s">
        <v>51</v>
      </c>
      <c r="E29" s="8">
        <v>17</v>
      </c>
    </row>
    <row r="30" spans="1:5">
      <c r="A30" s="5" t="s">
        <v>40</v>
      </c>
      <c r="B30" s="5" t="s">
        <v>41</v>
      </c>
      <c r="C30" s="133">
        <v>988100068</v>
      </c>
      <c r="D30" s="7" t="s">
        <v>65</v>
      </c>
      <c r="E30" s="101">
        <v>50</v>
      </c>
    </row>
    <row r="31" spans="1:5">
      <c r="A31" s="5" t="s">
        <v>40</v>
      </c>
      <c r="B31" s="5" t="s">
        <v>41</v>
      </c>
      <c r="C31" s="133">
        <v>988100088</v>
      </c>
      <c r="D31" s="7" t="s">
        <v>69</v>
      </c>
      <c r="E31" s="8">
        <v>4</v>
      </c>
    </row>
    <row r="32" spans="1:5">
      <c r="A32" s="11" t="s">
        <v>6</v>
      </c>
      <c r="B32" s="5" t="s">
        <v>7</v>
      </c>
      <c r="C32" s="133">
        <v>988100026</v>
      </c>
      <c r="D32" s="7" t="s">
        <v>21</v>
      </c>
      <c r="E32" s="8"/>
    </row>
    <row r="33" spans="1:5">
      <c r="A33" s="5"/>
      <c r="B33" s="5"/>
      <c r="C33" s="133">
        <v>988100661</v>
      </c>
      <c r="D33" s="7" t="s">
        <v>57</v>
      </c>
      <c r="E33" s="101">
        <v>13</v>
      </c>
    </row>
    <row r="34" spans="1:5">
      <c r="A34" s="11" t="s">
        <v>40</v>
      </c>
      <c r="B34" s="11" t="s">
        <v>41</v>
      </c>
      <c r="C34" s="133">
        <v>988100661</v>
      </c>
      <c r="D34" s="40" t="s">
        <v>57</v>
      </c>
      <c r="E34" s="101"/>
    </row>
    <row r="35" spans="1:5">
      <c r="A35" s="5" t="s">
        <v>40</v>
      </c>
      <c r="B35" s="5" t="s">
        <v>41</v>
      </c>
      <c r="C35" s="133">
        <v>990102</v>
      </c>
      <c r="D35" s="7" t="s">
        <v>326</v>
      </c>
      <c r="E35" s="101">
        <v>17</v>
      </c>
    </row>
    <row r="36" spans="1:5">
      <c r="A36" s="5" t="s">
        <v>40</v>
      </c>
      <c r="B36" s="5" t="s">
        <v>41</v>
      </c>
      <c r="C36" s="133">
        <v>988100066</v>
      </c>
      <c r="D36" s="7" t="s">
        <v>63</v>
      </c>
      <c r="E36" s="8">
        <v>22</v>
      </c>
    </row>
    <row r="37" spans="1:5">
      <c r="A37" s="11" t="s">
        <v>6</v>
      </c>
      <c r="B37" s="5" t="s">
        <v>7</v>
      </c>
      <c r="C37" s="133">
        <v>100153</v>
      </c>
      <c r="D37" s="7" t="s">
        <v>273</v>
      </c>
      <c r="E37" s="101"/>
    </row>
    <row r="38" spans="1:5">
      <c r="A38" s="11" t="s">
        <v>25</v>
      </c>
      <c r="B38" s="5" t="s">
        <v>7</v>
      </c>
      <c r="C38" s="133">
        <v>200080</v>
      </c>
      <c r="D38" s="7" t="s">
        <v>327</v>
      </c>
      <c r="E38" s="101"/>
    </row>
    <row r="39" spans="1:5">
      <c r="A39" s="11" t="s">
        <v>25</v>
      </c>
      <c r="B39" s="5" t="s">
        <v>7</v>
      </c>
      <c r="C39" s="133">
        <v>200004</v>
      </c>
      <c r="D39" s="7" t="s">
        <v>328</v>
      </c>
      <c r="E39" s="101">
        <v>73</v>
      </c>
    </row>
    <row r="40" spans="1:5">
      <c r="A40" s="5" t="s">
        <v>25</v>
      </c>
      <c r="B40" s="5" t="s">
        <v>7</v>
      </c>
      <c r="C40" s="133">
        <v>988100712</v>
      </c>
      <c r="D40" s="102" t="s">
        <v>250</v>
      </c>
      <c r="E40" s="8">
        <v>29</v>
      </c>
    </row>
    <row r="41" spans="1:5">
      <c r="A41" s="11" t="s">
        <v>25</v>
      </c>
      <c r="B41" s="5" t="s">
        <v>7</v>
      </c>
      <c r="C41" s="133">
        <v>988100098</v>
      </c>
      <c r="D41" s="7" t="s">
        <v>329</v>
      </c>
      <c r="E41" s="101"/>
    </row>
    <row r="42" spans="1:5">
      <c r="A42" s="5" t="s">
        <v>25</v>
      </c>
      <c r="B42" s="5" t="s">
        <v>7</v>
      </c>
      <c r="C42" s="133">
        <v>200266</v>
      </c>
      <c r="D42" s="7" t="s">
        <v>330</v>
      </c>
      <c r="E42" s="8"/>
    </row>
    <row r="43" spans="1:5">
      <c r="A43" s="5" t="s">
        <v>6</v>
      </c>
      <c r="B43" s="5" t="s">
        <v>7</v>
      </c>
      <c r="C43" s="133">
        <v>100126</v>
      </c>
      <c r="D43" s="7" t="s">
        <v>331</v>
      </c>
      <c r="E43" s="8">
        <v>138</v>
      </c>
    </row>
    <row r="44" spans="1:5">
      <c r="A44" s="11" t="s">
        <v>25</v>
      </c>
      <c r="B44" s="5" t="s">
        <v>7</v>
      </c>
      <c r="C44" s="133">
        <v>200079</v>
      </c>
      <c r="D44" s="7" t="s">
        <v>332</v>
      </c>
      <c r="E44" s="101"/>
    </row>
    <row r="45" spans="1:5">
      <c r="A45" s="5" t="s">
        <v>25</v>
      </c>
      <c r="B45" s="5" t="s">
        <v>7</v>
      </c>
      <c r="C45" s="133">
        <v>200336</v>
      </c>
      <c r="D45" s="7" t="s">
        <v>333</v>
      </c>
      <c r="E45" s="101"/>
    </row>
    <row r="46" spans="1:5">
      <c r="A46" s="11" t="s">
        <v>25</v>
      </c>
      <c r="B46" s="5" t="s">
        <v>7</v>
      </c>
      <c r="C46" s="133">
        <v>200337</v>
      </c>
      <c r="D46" s="7" t="s">
        <v>334</v>
      </c>
      <c r="E46" s="101"/>
    </row>
    <row r="47" spans="1:5">
      <c r="A47" s="11" t="s">
        <v>40</v>
      </c>
      <c r="B47" s="5" t="s">
        <v>41</v>
      </c>
      <c r="C47" s="133">
        <v>988100124</v>
      </c>
      <c r="D47" s="7" t="s">
        <v>67</v>
      </c>
      <c r="E47" s="101">
        <v>36</v>
      </c>
    </row>
    <row r="48" spans="1:5">
      <c r="A48" s="11" t="s">
        <v>25</v>
      </c>
      <c r="B48" s="5" t="s">
        <v>7</v>
      </c>
      <c r="C48" s="133">
        <v>200333</v>
      </c>
      <c r="D48" s="7" t="s">
        <v>335</v>
      </c>
      <c r="E48" s="101"/>
    </row>
    <row r="49" spans="1:5">
      <c r="A49" s="11" t="s">
        <v>6</v>
      </c>
      <c r="B49" s="5" t="s">
        <v>7</v>
      </c>
      <c r="C49" s="133">
        <v>100207</v>
      </c>
      <c r="D49" s="7" t="s">
        <v>24</v>
      </c>
      <c r="E49" s="101">
        <v>15</v>
      </c>
    </row>
    <row r="50" spans="1:5">
      <c r="A50" s="5" t="s">
        <v>25</v>
      </c>
      <c r="B50" s="5" t="s">
        <v>7</v>
      </c>
      <c r="C50" s="133">
        <v>200033</v>
      </c>
      <c r="D50" s="102" t="s">
        <v>247</v>
      </c>
      <c r="E50" s="8">
        <v>8</v>
      </c>
    </row>
    <row r="51" spans="1:5" s="18" customFormat="1">
      <c r="A51" s="5" t="s">
        <v>25</v>
      </c>
      <c r="B51" s="5" t="s">
        <v>7</v>
      </c>
      <c r="C51" s="133">
        <v>200078</v>
      </c>
      <c r="D51" s="7" t="s">
        <v>335</v>
      </c>
      <c r="E51" s="8"/>
    </row>
    <row r="52" spans="1:5" s="18" customFormat="1">
      <c r="A52" s="11" t="s">
        <v>40</v>
      </c>
      <c r="B52" s="5" t="s">
        <v>41</v>
      </c>
      <c r="C52" s="133">
        <v>910049</v>
      </c>
      <c r="D52" s="7" t="s">
        <v>335</v>
      </c>
      <c r="E52" s="101"/>
    </row>
    <row r="53" spans="1:5" s="18" customFormat="1">
      <c r="A53" s="11" t="s">
        <v>40</v>
      </c>
      <c r="B53" s="5" t="s">
        <v>41</v>
      </c>
      <c r="C53" s="133">
        <v>910050</v>
      </c>
      <c r="D53" s="7" t="s">
        <v>336</v>
      </c>
      <c r="E53" s="101"/>
    </row>
    <row r="54" spans="1:5" s="18" customFormat="1">
      <c r="A54" s="11" t="s">
        <v>40</v>
      </c>
      <c r="B54" s="5" t="s">
        <v>41</v>
      </c>
      <c r="C54" s="133">
        <v>910051</v>
      </c>
      <c r="D54" s="7" t="s">
        <v>193</v>
      </c>
      <c r="E54" s="8"/>
    </row>
    <row r="55" spans="1:5" s="18" customFormat="1">
      <c r="A55" s="11" t="s">
        <v>40</v>
      </c>
      <c r="B55" s="5" t="s">
        <v>41</v>
      </c>
      <c r="C55" s="133">
        <v>910052</v>
      </c>
      <c r="D55" s="7" t="s">
        <v>258</v>
      </c>
      <c r="E55" s="8"/>
    </row>
    <row r="56" spans="1:5" s="18" customFormat="1">
      <c r="A56" s="11" t="s">
        <v>40</v>
      </c>
      <c r="B56" s="5" t="s">
        <v>41</v>
      </c>
      <c r="C56" s="133">
        <v>910053</v>
      </c>
      <c r="D56" s="7" t="s">
        <v>259</v>
      </c>
      <c r="E56" s="101"/>
    </row>
    <row r="57" spans="1:5" s="18" customFormat="1">
      <c r="A57" s="5" t="s">
        <v>25</v>
      </c>
      <c r="B57" s="5" t="s">
        <v>7</v>
      </c>
      <c r="C57" s="133">
        <v>200034</v>
      </c>
      <c r="D57" s="102" t="s">
        <v>252</v>
      </c>
      <c r="E57" s="8">
        <v>19</v>
      </c>
    </row>
    <row r="58" spans="1:5" s="18" customFormat="1">
      <c r="A58" s="11" t="s">
        <v>89</v>
      </c>
      <c r="B58" s="11" t="s">
        <v>7</v>
      </c>
      <c r="C58" s="133">
        <v>988100464</v>
      </c>
      <c r="D58" s="7" t="s">
        <v>94</v>
      </c>
      <c r="E58" s="101">
        <v>79</v>
      </c>
    </row>
    <row r="59" spans="1:5" s="18" customFormat="1">
      <c r="A59" s="5" t="s">
        <v>89</v>
      </c>
      <c r="B59" s="5" t="s">
        <v>7</v>
      </c>
      <c r="C59" s="133">
        <v>988100667</v>
      </c>
      <c r="D59" s="79" t="s">
        <v>120</v>
      </c>
      <c r="E59" s="8">
        <v>47</v>
      </c>
    </row>
    <row r="60" spans="1:5" s="18" customFormat="1">
      <c r="A60" s="11" t="s">
        <v>25</v>
      </c>
      <c r="B60" s="11" t="s">
        <v>7</v>
      </c>
      <c r="C60" s="136">
        <v>500020</v>
      </c>
      <c r="D60" s="40" t="s">
        <v>38</v>
      </c>
      <c r="E60" s="101">
        <v>18</v>
      </c>
    </row>
    <row r="61" spans="1:5" s="18" customFormat="1">
      <c r="A61" s="11" t="s">
        <v>40</v>
      </c>
      <c r="B61" s="5" t="s">
        <v>41</v>
      </c>
      <c r="C61" s="133">
        <v>910058</v>
      </c>
      <c r="D61" s="7" t="s">
        <v>337</v>
      </c>
      <c r="E61" s="8"/>
    </row>
    <row r="62" spans="1:5" s="18" customFormat="1">
      <c r="A62" s="11" t="s">
        <v>40</v>
      </c>
      <c r="B62" s="5" t="s">
        <v>41</v>
      </c>
      <c r="C62" s="133">
        <v>910059</v>
      </c>
      <c r="D62" s="7" t="s">
        <v>338</v>
      </c>
      <c r="E62" s="101"/>
    </row>
    <row r="63" spans="1:5" s="18" customFormat="1">
      <c r="A63" s="11" t="s">
        <v>40</v>
      </c>
      <c r="B63" s="5" t="s">
        <v>41</v>
      </c>
      <c r="C63" s="133">
        <v>910060</v>
      </c>
      <c r="D63" s="7" t="s">
        <v>339</v>
      </c>
      <c r="E63" s="101"/>
    </row>
    <row r="64" spans="1:5" s="18" customFormat="1">
      <c r="A64" s="11" t="s">
        <v>40</v>
      </c>
      <c r="B64" s="5" t="s">
        <v>41</v>
      </c>
      <c r="C64" s="133">
        <v>910061</v>
      </c>
      <c r="D64" s="7" t="s">
        <v>340</v>
      </c>
      <c r="E64" s="101"/>
    </row>
    <row r="65" spans="1:5" s="18" customFormat="1">
      <c r="A65" s="11" t="s">
        <v>40</v>
      </c>
      <c r="B65" s="5" t="s">
        <v>41</v>
      </c>
      <c r="C65" s="133">
        <v>910062</v>
      </c>
      <c r="D65" s="7" t="s">
        <v>341</v>
      </c>
      <c r="E65" s="101"/>
    </row>
    <row r="66" spans="1:5" s="18" customFormat="1">
      <c r="A66" s="11" t="s">
        <v>309</v>
      </c>
      <c r="B66" s="5" t="s">
        <v>41</v>
      </c>
      <c r="C66" s="133">
        <v>988100253</v>
      </c>
      <c r="D66" s="7" t="s">
        <v>342</v>
      </c>
      <c r="E66" s="101"/>
    </row>
    <row r="67" spans="1:5" s="18" customFormat="1">
      <c r="A67" s="11" t="s">
        <v>6</v>
      </c>
      <c r="B67" s="5" t="s">
        <v>7</v>
      </c>
      <c r="C67" s="133">
        <v>100050</v>
      </c>
      <c r="D67" s="7" t="s">
        <v>15</v>
      </c>
      <c r="E67" s="101">
        <v>66</v>
      </c>
    </row>
    <row r="68" spans="1:5" s="18" customFormat="1">
      <c r="A68" s="11" t="s">
        <v>309</v>
      </c>
      <c r="B68" s="5" t="s">
        <v>41</v>
      </c>
      <c r="C68" s="133">
        <v>988100218</v>
      </c>
      <c r="D68" s="7" t="s">
        <v>343</v>
      </c>
      <c r="E68" s="8"/>
    </row>
    <row r="69" spans="1:5" s="18" customFormat="1">
      <c r="A69" s="11" t="s">
        <v>309</v>
      </c>
      <c r="B69" s="5" t="s">
        <v>41</v>
      </c>
      <c r="C69" s="133">
        <v>988100221</v>
      </c>
      <c r="D69" s="7" t="s">
        <v>344</v>
      </c>
      <c r="E69" s="8"/>
    </row>
    <row r="70" spans="1:5" s="18" customFormat="1">
      <c r="A70" s="11" t="s">
        <v>309</v>
      </c>
      <c r="B70" s="5" t="s">
        <v>41</v>
      </c>
      <c r="C70" s="133">
        <v>988100214</v>
      </c>
      <c r="D70" s="7" t="s">
        <v>345</v>
      </c>
      <c r="E70" s="8"/>
    </row>
    <row r="71" spans="1:5" s="18" customFormat="1">
      <c r="A71" s="11" t="s">
        <v>309</v>
      </c>
      <c r="B71" s="5" t="s">
        <v>41</v>
      </c>
      <c r="C71" s="133">
        <v>988100217</v>
      </c>
      <c r="D71" s="7" t="s">
        <v>346</v>
      </c>
      <c r="E71" s="8"/>
    </row>
    <row r="72" spans="1:5" s="18" customFormat="1">
      <c r="A72" s="11" t="s">
        <v>309</v>
      </c>
      <c r="B72" s="5" t="s">
        <v>41</v>
      </c>
      <c r="C72" s="133">
        <v>988100220</v>
      </c>
      <c r="D72" s="7" t="s">
        <v>347</v>
      </c>
      <c r="E72" s="8"/>
    </row>
    <row r="73" spans="1:5" s="18" customFormat="1">
      <c r="A73" s="11" t="s">
        <v>309</v>
      </c>
      <c r="B73" s="5" t="s">
        <v>41</v>
      </c>
      <c r="C73" s="133">
        <v>988100215</v>
      </c>
      <c r="D73" s="7" t="s">
        <v>348</v>
      </c>
      <c r="E73" s="8"/>
    </row>
    <row r="74" spans="1:5" s="18" customFormat="1">
      <c r="A74" s="11" t="s">
        <v>309</v>
      </c>
      <c r="B74" s="5" t="s">
        <v>41</v>
      </c>
      <c r="C74" s="133">
        <v>988100219</v>
      </c>
      <c r="D74" s="7" t="s">
        <v>349</v>
      </c>
      <c r="E74" s="8"/>
    </row>
    <row r="75" spans="1:5" s="18" customFormat="1">
      <c r="A75" s="11" t="s">
        <v>309</v>
      </c>
      <c r="B75" s="5" t="s">
        <v>41</v>
      </c>
      <c r="C75" s="133">
        <v>988100213</v>
      </c>
      <c r="D75" s="7" t="s">
        <v>350</v>
      </c>
      <c r="E75" s="8"/>
    </row>
    <row r="76" spans="1:5" s="18" customFormat="1">
      <c r="A76" s="11" t="s">
        <v>309</v>
      </c>
      <c r="B76" s="5" t="s">
        <v>41</v>
      </c>
      <c r="C76" s="133">
        <v>988100216</v>
      </c>
      <c r="D76" s="7" t="s">
        <v>351</v>
      </c>
      <c r="E76" s="8"/>
    </row>
    <row r="77" spans="1:5" s="18" customFormat="1">
      <c r="A77" s="11" t="s">
        <v>309</v>
      </c>
      <c r="B77" s="5" t="s">
        <v>41</v>
      </c>
      <c r="C77" s="133">
        <v>988100338</v>
      </c>
      <c r="D77" s="7" t="s">
        <v>352</v>
      </c>
      <c r="E77" s="8"/>
    </row>
    <row r="78" spans="1:5" s="18" customFormat="1">
      <c r="A78" s="11" t="s">
        <v>309</v>
      </c>
      <c r="B78" s="5" t="s">
        <v>41</v>
      </c>
      <c r="C78" s="133">
        <v>988100339</v>
      </c>
      <c r="D78" s="7" t="s">
        <v>353</v>
      </c>
      <c r="E78" s="8"/>
    </row>
    <row r="79" spans="1:5" s="18" customFormat="1">
      <c r="A79" s="11" t="s">
        <v>309</v>
      </c>
      <c r="B79" s="5" t="s">
        <v>41</v>
      </c>
      <c r="C79" s="133">
        <v>988100340</v>
      </c>
      <c r="D79" s="7" t="s">
        <v>354</v>
      </c>
      <c r="E79" s="8"/>
    </row>
    <row r="80" spans="1:5" s="18" customFormat="1">
      <c r="A80" s="11" t="s">
        <v>309</v>
      </c>
      <c r="B80" s="5" t="s">
        <v>41</v>
      </c>
      <c r="C80" s="133">
        <v>988100341</v>
      </c>
      <c r="D80" s="7" t="s">
        <v>355</v>
      </c>
      <c r="E80" s="8"/>
    </row>
    <row r="81" spans="1:5" s="18" customFormat="1">
      <c r="A81" s="11" t="s">
        <v>309</v>
      </c>
      <c r="B81" s="5" t="s">
        <v>41</v>
      </c>
      <c r="C81" s="133">
        <v>988100342</v>
      </c>
      <c r="D81" s="7" t="s">
        <v>356</v>
      </c>
      <c r="E81" s="8"/>
    </row>
    <row r="82" spans="1:5" s="18" customFormat="1">
      <c r="A82" s="11" t="s">
        <v>6</v>
      </c>
      <c r="B82" s="5" t="s">
        <v>7</v>
      </c>
      <c r="C82" s="133">
        <v>100048</v>
      </c>
      <c r="D82" s="7" t="s">
        <v>19</v>
      </c>
      <c r="E82" s="8">
        <v>43</v>
      </c>
    </row>
    <row r="83" spans="1:5" s="18" customFormat="1">
      <c r="A83" s="11" t="s">
        <v>6</v>
      </c>
      <c r="B83" s="5" t="s">
        <v>7</v>
      </c>
      <c r="C83" s="133">
        <v>100052</v>
      </c>
      <c r="D83" s="7" t="s">
        <v>16</v>
      </c>
      <c r="E83" s="101">
        <v>71</v>
      </c>
    </row>
    <row r="84" spans="1:5" s="18" customFormat="1">
      <c r="A84" s="11" t="s">
        <v>309</v>
      </c>
      <c r="B84" s="5" t="s">
        <v>41</v>
      </c>
      <c r="C84" s="133">
        <v>988100345</v>
      </c>
      <c r="D84" s="7" t="s">
        <v>357</v>
      </c>
      <c r="E84" s="8"/>
    </row>
    <row r="85" spans="1:5" s="18" customFormat="1">
      <c r="A85" s="11" t="s">
        <v>309</v>
      </c>
      <c r="B85" s="5" t="s">
        <v>41</v>
      </c>
      <c r="C85" s="133">
        <v>988100346</v>
      </c>
      <c r="D85" s="7" t="s">
        <v>358</v>
      </c>
      <c r="E85" s="8"/>
    </row>
    <row r="86" spans="1:5" s="18" customFormat="1">
      <c r="A86" s="11" t="s">
        <v>309</v>
      </c>
      <c r="B86" s="5" t="s">
        <v>41</v>
      </c>
      <c r="C86" s="133">
        <v>988100347</v>
      </c>
      <c r="D86" s="7" t="s">
        <v>359</v>
      </c>
      <c r="E86" s="8"/>
    </row>
    <row r="87" spans="1:5" s="18" customFormat="1">
      <c r="A87" s="11" t="s">
        <v>309</v>
      </c>
      <c r="B87" s="5" t="s">
        <v>41</v>
      </c>
      <c r="C87" s="133">
        <v>988100348</v>
      </c>
      <c r="D87" s="7" t="s">
        <v>360</v>
      </c>
      <c r="E87" s="8"/>
    </row>
    <row r="88" spans="1:5" s="18" customFormat="1">
      <c r="A88" s="11" t="s">
        <v>309</v>
      </c>
      <c r="B88" s="5" t="s">
        <v>41</v>
      </c>
      <c r="C88" s="133">
        <v>988100349</v>
      </c>
      <c r="D88" s="7" t="s">
        <v>361</v>
      </c>
      <c r="E88" s="8"/>
    </row>
    <row r="89" spans="1:5" s="18" customFormat="1">
      <c r="A89" s="11" t="s">
        <v>309</v>
      </c>
      <c r="B89" s="5" t="s">
        <v>41</v>
      </c>
      <c r="C89" s="133">
        <v>988100350</v>
      </c>
      <c r="D89" s="7" t="s">
        <v>362</v>
      </c>
      <c r="E89" s="8"/>
    </row>
    <row r="90" spans="1:5" s="18" customFormat="1">
      <c r="A90" s="11" t="s">
        <v>309</v>
      </c>
      <c r="B90" s="5" t="s">
        <v>41</v>
      </c>
      <c r="C90" s="133">
        <v>988100351</v>
      </c>
      <c r="D90" s="7" t="s">
        <v>363</v>
      </c>
      <c r="E90" s="8"/>
    </row>
    <row r="91" spans="1:5" s="18" customFormat="1">
      <c r="A91" s="11" t="s">
        <v>309</v>
      </c>
      <c r="B91" s="5" t="s">
        <v>41</v>
      </c>
      <c r="C91" s="133">
        <v>988100352</v>
      </c>
      <c r="D91" s="7" t="s">
        <v>364</v>
      </c>
      <c r="E91" s="8"/>
    </row>
    <row r="92" spans="1:5" s="18" customFormat="1">
      <c r="A92" s="11" t="s">
        <v>309</v>
      </c>
      <c r="B92" s="5" t="s">
        <v>41</v>
      </c>
      <c r="C92" s="133">
        <v>988100353</v>
      </c>
      <c r="D92" s="7" t="s">
        <v>365</v>
      </c>
      <c r="E92" s="8"/>
    </row>
    <row r="93" spans="1:5" s="18" customFormat="1">
      <c r="A93" s="11" t="s">
        <v>309</v>
      </c>
      <c r="B93" s="5" t="s">
        <v>41</v>
      </c>
      <c r="C93" s="133">
        <v>988100354</v>
      </c>
      <c r="D93" s="7" t="s">
        <v>366</v>
      </c>
      <c r="E93" s="8"/>
    </row>
    <row r="94" spans="1:5" s="18" customFormat="1">
      <c r="A94" s="11" t="s">
        <v>89</v>
      </c>
      <c r="B94" s="11" t="s">
        <v>7</v>
      </c>
      <c r="C94" s="133">
        <v>988100455</v>
      </c>
      <c r="D94" s="19" t="s">
        <v>95</v>
      </c>
      <c r="E94" s="101">
        <v>55</v>
      </c>
    </row>
    <row r="95" spans="1:5" s="18" customFormat="1">
      <c r="A95" s="11" t="s">
        <v>309</v>
      </c>
      <c r="B95" s="5" t="s">
        <v>41</v>
      </c>
      <c r="C95" s="133">
        <v>988100356</v>
      </c>
      <c r="D95" s="7" t="s">
        <v>367</v>
      </c>
      <c r="E95" s="8"/>
    </row>
    <row r="96" spans="1:5" s="18" customFormat="1">
      <c r="A96" s="11" t="s">
        <v>309</v>
      </c>
      <c r="B96" s="5" t="s">
        <v>41</v>
      </c>
      <c r="C96" s="133">
        <v>988100357</v>
      </c>
      <c r="D96" s="7" t="s">
        <v>368</v>
      </c>
      <c r="E96" s="8"/>
    </row>
    <row r="97" spans="1:5" s="18" customFormat="1">
      <c r="A97" s="11" t="s">
        <v>309</v>
      </c>
      <c r="B97" s="5" t="s">
        <v>41</v>
      </c>
      <c r="C97" s="133">
        <v>988100358</v>
      </c>
      <c r="D97" s="7" t="s">
        <v>369</v>
      </c>
      <c r="E97" s="8"/>
    </row>
    <row r="98" spans="1:5" s="18" customFormat="1">
      <c r="A98" s="11" t="s">
        <v>309</v>
      </c>
      <c r="B98" s="5" t="s">
        <v>41</v>
      </c>
      <c r="C98" s="133">
        <v>988100359</v>
      </c>
      <c r="D98" s="7" t="s">
        <v>370</v>
      </c>
      <c r="E98" s="8"/>
    </row>
    <row r="99" spans="1:5" s="18" customFormat="1">
      <c r="A99" s="11" t="s">
        <v>309</v>
      </c>
      <c r="B99" s="5" t="s">
        <v>41</v>
      </c>
      <c r="C99" s="133">
        <v>988100360</v>
      </c>
      <c r="D99" s="7" t="s">
        <v>371</v>
      </c>
      <c r="E99" s="8"/>
    </row>
    <row r="100" spans="1:5" s="18" customFormat="1">
      <c r="A100" s="11" t="s">
        <v>309</v>
      </c>
      <c r="B100" s="5" t="s">
        <v>41</v>
      </c>
      <c r="C100" s="133">
        <v>988100361</v>
      </c>
      <c r="D100" s="7" t="s">
        <v>372</v>
      </c>
      <c r="E100" s="8"/>
    </row>
    <row r="101" spans="1:5" s="18" customFormat="1">
      <c r="A101" s="11" t="s">
        <v>309</v>
      </c>
      <c r="B101" s="5" t="s">
        <v>41</v>
      </c>
      <c r="C101" s="133">
        <v>988100362</v>
      </c>
      <c r="D101" s="7" t="s">
        <v>373</v>
      </c>
      <c r="E101" s="8"/>
    </row>
    <row r="102" spans="1:5" s="18" customFormat="1">
      <c r="A102" s="11" t="s">
        <v>309</v>
      </c>
      <c r="B102" s="5" t="s">
        <v>41</v>
      </c>
      <c r="C102" s="133">
        <v>988100363</v>
      </c>
      <c r="D102" s="7" t="s">
        <v>374</v>
      </c>
      <c r="E102" s="8"/>
    </row>
    <row r="103" spans="1:5" s="18" customFormat="1">
      <c r="A103" s="11" t="s">
        <v>309</v>
      </c>
      <c r="B103" s="5" t="s">
        <v>41</v>
      </c>
      <c r="C103" s="133">
        <v>988100364</v>
      </c>
      <c r="D103" s="7" t="s">
        <v>375</v>
      </c>
      <c r="E103" s="8"/>
    </row>
    <row r="104" spans="1:5" s="18" customFormat="1">
      <c r="A104" s="11" t="s">
        <v>309</v>
      </c>
      <c r="B104" s="5" t="s">
        <v>41</v>
      </c>
      <c r="C104" s="133">
        <v>988100365</v>
      </c>
      <c r="D104" s="7" t="s">
        <v>376</v>
      </c>
      <c r="E104" s="8"/>
    </row>
    <row r="105" spans="1:5" s="18" customFormat="1">
      <c r="A105" s="11" t="s">
        <v>309</v>
      </c>
      <c r="B105" s="5" t="s">
        <v>41</v>
      </c>
      <c r="C105" s="133">
        <v>988100366</v>
      </c>
      <c r="D105" s="7" t="s">
        <v>377</v>
      </c>
      <c r="E105" s="8"/>
    </row>
    <row r="106" spans="1:5" s="18" customFormat="1">
      <c r="A106" s="11" t="s">
        <v>309</v>
      </c>
      <c r="B106" s="5" t="s">
        <v>41</v>
      </c>
      <c r="C106" s="133">
        <v>988100368</v>
      </c>
      <c r="D106" s="7" t="s">
        <v>378</v>
      </c>
      <c r="E106" s="8"/>
    </row>
    <row r="107" spans="1:5" s="18" customFormat="1">
      <c r="A107" s="11" t="s">
        <v>309</v>
      </c>
      <c r="B107" s="5" t="s">
        <v>41</v>
      </c>
      <c r="C107" s="133">
        <v>988100369</v>
      </c>
      <c r="D107" s="7" t="s">
        <v>379</v>
      </c>
      <c r="E107" s="8"/>
    </row>
    <row r="108" spans="1:5" s="18" customFormat="1">
      <c r="A108" s="11" t="s">
        <v>89</v>
      </c>
      <c r="B108" s="11" t="s">
        <v>7</v>
      </c>
      <c r="C108" s="133">
        <v>988100426</v>
      </c>
      <c r="D108" s="19" t="s">
        <v>380</v>
      </c>
      <c r="E108" s="101">
        <v>40</v>
      </c>
    </row>
    <row r="109" spans="1:5" s="18" customFormat="1">
      <c r="A109" s="11" t="s">
        <v>309</v>
      </c>
      <c r="B109" s="5" t="s">
        <v>41</v>
      </c>
      <c r="C109" s="133">
        <v>988100371</v>
      </c>
      <c r="D109" s="7" t="s">
        <v>381</v>
      </c>
      <c r="E109" s="8"/>
    </row>
    <row r="110" spans="1:5" s="18" customFormat="1">
      <c r="A110" s="11" t="s">
        <v>309</v>
      </c>
      <c r="B110" s="5" t="s">
        <v>41</v>
      </c>
      <c r="C110" s="133">
        <v>988100372</v>
      </c>
      <c r="D110" s="7" t="s">
        <v>382</v>
      </c>
      <c r="E110" s="8"/>
    </row>
    <row r="111" spans="1:5" s="18" customFormat="1">
      <c r="A111" s="11" t="s">
        <v>309</v>
      </c>
      <c r="B111" s="5" t="s">
        <v>41</v>
      </c>
      <c r="C111" s="133">
        <v>988100373</v>
      </c>
      <c r="D111" s="7" t="s">
        <v>383</v>
      </c>
      <c r="E111" s="8"/>
    </row>
    <row r="112" spans="1:5" s="18" customFormat="1">
      <c r="A112" s="11" t="s">
        <v>309</v>
      </c>
      <c r="B112" s="5" t="s">
        <v>41</v>
      </c>
      <c r="C112" s="133">
        <v>988100374</v>
      </c>
      <c r="D112" s="7" t="s">
        <v>384</v>
      </c>
      <c r="E112" s="8"/>
    </row>
    <row r="113" spans="1:5" s="18" customFormat="1">
      <c r="A113" s="11" t="s">
        <v>309</v>
      </c>
      <c r="B113" s="5" t="s">
        <v>41</v>
      </c>
      <c r="C113" s="133">
        <v>988100375</v>
      </c>
      <c r="D113" s="7" t="s">
        <v>385</v>
      </c>
      <c r="E113" s="8"/>
    </row>
    <row r="114" spans="1:5" s="18" customFormat="1">
      <c r="A114" s="11" t="s">
        <v>309</v>
      </c>
      <c r="B114" s="5" t="s">
        <v>41</v>
      </c>
      <c r="C114" s="133">
        <v>988100376</v>
      </c>
      <c r="D114" s="7" t="s">
        <v>386</v>
      </c>
      <c r="E114" s="8"/>
    </row>
    <row r="115" spans="1:5" s="18" customFormat="1">
      <c r="A115" s="11" t="s">
        <v>309</v>
      </c>
      <c r="B115" s="5" t="s">
        <v>41</v>
      </c>
      <c r="C115" s="133">
        <v>988100377</v>
      </c>
      <c r="D115" s="7" t="s">
        <v>387</v>
      </c>
      <c r="E115" s="8"/>
    </row>
    <row r="116" spans="1:5" s="18" customFormat="1">
      <c r="A116" s="11" t="s">
        <v>309</v>
      </c>
      <c r="B116" s="5" t="s">
        <v>41</v>
      </c>
      <c r="C116" s="133">
        <v>988100378</v>
      </c>
      <c r="D116" s="7" t="s">
        <v>388</v>
      </c>
      <c r="E116" s="8"/>
    </row>
    <row r="117" spans="1:5" s="18" customFormat="1">
      <c r="A117" s="11" t="s">
        <v>309</v>
      </c>
      <c r="B117" s="5" t="s">
        <v>41</v>
      </c>
      <c r="C117" s="133">
        <v>988100379</v>
      </c>
      <c r="D117" s="7" t="s">
        <v>389</v>
      </c>
      <c r="E117" s="8"/>
    </row>
    <row r="118" spans="1:5" s="18" customFormat="1">
      <c r="A118" s="11" t="s">
        <v>309</v>
      </c>
      <c r="B118" s="5" t="s">
        <v>41</v>
      </c>
      <c r="C118" s="133">
        <v>988100380</v>
      </c>
      <c r="D118" s="7" t="s">
        <v>390</v>
      </c>
      <c r="E118" s="8"/>
    </row>
    <row r="119" spans="1:5" s="18" customFormat="1">
      <c r="A119" s="11" t="s">
        <v>309</v>
      </c>
      <c r="B119" s="5" t="s">
        <v>41</v>
      </c>
      <c r="C119" s="133">
        <v>988100381</v>
      </c>
      <c r="D119" s="7" t="s">
        <v>391</v>
      </c>
      <c r="E119" s="8"/>
    </row>
    <row r="120" spans="1:5" s="18" customFormat="1">
      <c r="A120" s="11" t="s">
        <v>309</v>
      </c>
      <c r="B120" s="5" t="s">
        <v>41</v>
      </c>
      <c r="C120" s="133">
        <v>988100382</v>
      </c>
      <c r="D120" s="7" t="s">
        <v>392</v>
      </c>
      <c r="E120" s="8">
        <v>1</v>
      </c>
    </row>
    <row r="121" spans="1:5" s="18" customFormat="1">
      <c r="A121" s="11" t="s">
        <v>309</v>
      </c>
      <c r="B121" s="5" t="s">
        <v>41</v>
      </c>
      <c r="C121" s="133">
        <v>988100383</v>
      </c>
      <c r="D121" s="7" t="s">
        <v>393</v>
      </c>
      <c r="E121" s="8">
        <v>1</v>
      </c>
    </row>
    <row r="122" spans="1:5" s="18" customFormat="1">
      <c r="A122" s="11" t="s">
        <v>309</v>
      </c>
      <c r="B122" s="5" t="s">
        <v>41</v>
      </c>
      <c r="C122" s="133">
        <v>988100384</v>
      </c>
      <c r="D122" s="7" t="s">
        <v>394</v>
      </c>
      <c r="E122" s="8"/>
    </row>
    <row r="123" spans="1:5" s="18" customFormat="1">
      <c r="A123" s="11" t="s">
        <v>309</v>
      </c>
      <c r="B123" s="5" t="s">
        <v>41</v>
      </c>
      <c r="C123" s="133">
        <v>988100385</v>
      </c>
      <c r="D123" s="7" t="s">
        <v>395</v>
      </c>
      <c r="E123" s="8">
        <v>1</v>
      </c>
    </row>
    <row r="124" spans="1:5" s="18" customFormat="1">
      <c r="A124" s="11" t="s">
        <v>309</v>
      </c>
      <c r="B124" s="5" t="s">
        <v>41</v>
      </c>
      <c r="C124" s="133">
        <v>988100386</v>
      </c>
      <c r="D124" s="7" t="s">
        <v>396</v>
      </c>
      <c r="E124" s="8"/>
    </row>
    <row r="125" spans="1:5" s="18" customFormat="1">
      <c r="A125" s="11" t="s">
        <v>309</v>
      </c>
      <c r="B125" s="5" t="s">
        <v>41</v>
      </c>
      <c r="C125" s="133">
        <v>988100387</v>
      </c>
      <c r="D125" s="7" t="s">
        <v>397</v>
      </c>
      <c r="E125" s="8"/>
    </row>
    <row r="126" spans="1:5" s="18" customFormat="1">
      <c r="A126" s="11" t="s">
        <v>309</v>
      </c>
      <c r="B126" s="5" t="s">
        <v>41</v>
      </c>
      <c r="C126" s="133">
        <v>988100388</v>
      </c>
      <c r="D126" s="7" t="s">
        <v>398</v>
      </c>
      <c r="E126" s="8"/>
    </row>
    <row r="127" spans="1:5" s="18" customFormat="1">
      <c r="A127" s="11" t="s">
        <v>309</v>
      </c>
      <c r="B127" s="5" t="s">
        <v>41</v>
      </c>
      <c r="C127" s="133">
        <v>988100389</v>
      </c>
      <c r="D127" s="7" t="s">
        <v>399</v>
      </c>
      <c r="E127" s="8"/>
    </row>
    <row r="128" spans="1:5" s="18" customFormat="1">
      <c r="A128" s="11" t="s">
        <v>309</v>
      </c>
      <c r="B128" s="5" t="s">
        <v>41</v>
      </c>
      <c r="C128" s="133">
        <v>988100390</v>
      </c>
      <c r="D128" s="7" t="s">
        <v>400</v>
      </c>
      <c r="E128" s="8"/>
    </row>
    <row r="129" spans="1:5" s="18" customFormat="1">
      <c r="A129" s="11" t="s">
        <v>309</v>
      </c>
      <c r="B129" s="5" t="s">
        <v>41</v>
      </c>
      <c r="C129" s="133">
        <v>988100391</v>
      </c>
      <c r="D129" s="7" t="s">
        <v>401</v>
      </c>
      <c r="E129" s="8"/>
    </row>
    <row r="130" spans="1:5" s="18" customFormat="1">
      <c r="A130" s="11" t="s">
        <v>309</v>
      </c>
      <c r="B130" s="5" t="s">
        <v>41</v>
      </c>
      <c r="C130" s="133">
        <v>988100392</v>
      </c>
      <c r="D130" s="7" t="s">
        <v>402</v>
      </c>
      <c r="E130" s="8"/>
    </row>
    <row r="131" spans="1:5" s="18" customFormat="1">
      <c r="A131" s="11" t="s">
        <v>309</v>
      </c>
      <c r="B131" s="5" t="s">
        <v>41</v>
      </c>
      <c r="C131" s="133">
        <v>988100393</v>
      </c>
      <c r="D131" s="7" t="s">
        <v>403</v>
      </c>
      <c r="E131" s="8">
        <v>1</v>
      </c>
    </row>
    <row r="132" spans="1:5" s="18" customFormat="1">
      <c r="A132" s="11" t="s">
        <v>309</v>
      </c>
      <c r="B132" s="5" t="s">
        <v>41</v>
      </c>
      <c r="C132" s="133">
        <v>988100394</v>
      </c>
      <c r="D132" s="7" t="s">
        <v>404</v>
      </c>
      <c r="E132" s="8"/>
    </row>
    <row r="133" spans="1:5" s="18" customFormat="1">
      <c r="A133" s="11" t="s">
        <v>309</v>
      </c>
      <c r="B133" s="5" t="s">
        <v>41</v>
      </c>
      <c r="C133" s="133">
        <v>988100395</v>
      </c>
      <c r="D133" s="7" t="s">
        <v>405</v>
      </c>
      <c r="E133" s="8"/>
    </row>
    <row r="134" spans="1:5" s="18" customFormat="1">
      <c r="A134" s="11" t="s">
        <v>309</v>
      </c>
      <c r="B134" s="5" t="s">
        <v>41</v>
      </c>
      <c r="C134" s="133">
        <v>988100396</v>
      </c>
      <c r="D134" s="7" t="s">
        <v>406</v>
      </c>
      <c r="E134" s="8"/>
    </row>
    <row r="135" spans="1:5" s="18" customFormat="1">
      <c r="A135" s="11" t="s">
        <v>309</v>
      </c>
      <c r="B135" s="5" t="s">
        <v>41</v>
      </c>
      <c r="C135" s="133">
        <v>988100397</v>
      </c>
      <c r="D135" s="7" t="s">
        <v>407</v>
      </c>
      <c r="E135" s="8"/>
    </row>
    <row r="136" spans="1:5" s="18" customFormat="1">
      <c r="A136" s="11" t="s">
        <v>309</v>
      </c>
      <c r="B136" s="5" t="s">
        <v>41</v>
      </c>
      <c r="C136" s="133">
        <v>988100398</v>
      </c>
      <c r="D136" s="7" t="s">
        <v>408</v>
      </c>
      <c r="E136" s="8"/>
    </row>
    <row r="137" spans="1:5" s="18" customFormat="1">
      <c r="A137" s="11" t="s">
        <v>309</v>
      </c>
      <c r="B137" s="5" t="s">
        <v>41</v>
      </c>
      <c r="C137" s="133">
        <v>988100399</v>
      </c>
      <c r="D137" s="7" t="s">
        <v>409</v>
      </c>
      <c r="E137" s="8"/>
    </row>
    <row r="138" spans="1:5" s="18" customFormat="1">
      <c r="A138" s="11" t="s">
        <v>309</v>
      </c>
      <c r="B138" s="5" t="s">
        <v>41</v>
      </c>
      <c r="C138" s="133">
        <v>988100400</v>
      </c>
      <c r="D138" s="7" t="s">
        <v>410</v>
      </c>
      <c r="E138" s="8"/>
    </row>
    <row r="139" spans="1:5" s="18" customFormat="1">
      <c r="A139" s="11" t="s">
        <v>309</v>
      </c>
      <c r="B139" s="5" t="s">
        <v>41</v>
      </c>
      <c r="C139" s="133">
        <v>988100401</v>
      </c>
      <c r="D139" s="7" t="s">
        <v>411</v>
      </c>
      <c r="E139" s="8"/>
    </row>
    <row r="140" spans="1:5" s="18" customFormat="1">
      <c r="A140" s="11" t="s">
        <v>309</v>
      </c>
      <c r="B140" s="5" t="s">
        <v>41</v>
      </c>
      <c r="C140" s="133">
        <v>988100402</v>
      </c>
      <c r="D140" s="7" t="s">
        <v>412</v>
      </c>
      <c r="E140" s="8"/>
    </row>
    <row r="141" spans="1:5" s="18" customFormat="1">
      <c r="A141" s="11" t="s">
        <v>309</v>
      </c>
      <c r="B141" s="5" t="s">
        <v>41</v>
      </c>
      <c r="C141" s="133">
        <v>988100403</v>
      </c>
      <c r="D141" s="7" t="s">
        <v>413</v>
      </c>
      <c r="E141" s="8"/>
    </row>
    <row r="142" spans="1:5" s="18" customFormat="1">
      <c r="A142" s="11" t="s">
        <v>309</v>
      </c>
      <c r="B142" s="5" t="s">
        <v>41</v>
      </c>
      <c r="C142" s="133">
        <v>988100404</v>
      </c>
      <c r="D142" s="7" t="s">
        <v>414</v>
      </c>
      <c r="E142" s="8"/>
    </row>
    <row r="143" spans="1:5" s="18" customFormat="1">
      <c r="A143" s="11" t="s">
        <v>309</v>
      </c>
      <c r="B143" s="5" t="s">
        <v>41</v>
      </c>
      <c r="C143" s="133">
        <v>988100405</v>
      </c>
      <c r="D143" s="7" t="s">
        <v>415</v>
      </c>
      <c r="E143" s="8"/>
    </row>
    <row r="144" spans="1:5" s="18" customFormat="1">
      <c r="A144" s="11" t="s">
        <v>309</v>
      </c>
      <c r="B144" s="5" t="s">
        <v>41</v>
      </c>
      <c r="C144" s="133">
        <v>988100406</v>
      </c>
      <c r="D144" s="7" t="s">
        <v>416</v>
      </c>
      <c r="E144" s="8"/>
    </row>
    <row r="145" spans="1:5" s="18" customFormat="1">
      <c r="A145" s="11" t="s">
        <v>309</v>
      </c>
      <c r="B145" s="5" t="s">
        <v>41</v>
      </c>
      <c r="C145" s="133">
        <v>988100407</v>
      </c>
      <c r="D145" s="7" t="s">
        <v>417</v>
      </c>
      <c r="E145" s="8"/>
    </row>
    <row r="146" spans="1:5" s="18" customFormat="1">
      <c r="A146" s="11" t="s">
        <v>309</v>
      </c>
      <c r="B146" s="5" t="s">
        <v>41</v>
      </c>
      <c r="C146" s="133">
        <v>988100408</v>
      </c>
      <c r="D146" s="7" t="s">
        <v>418</v>
      </c>
      <c r="E146" s="8"/>
    </row>
    <row r="147" spans="1:5" s="18" customFormat="1">
      <c r="A147" s="11" t="s">
        <v>309</v>
      </c>
      <c r="B147" s="5" t="s">
        <v>41</v>
      </c>
      <c r="C147" s="133">
        <v>988100409</v>
      </c>
      <c r="D147" s="7" t="s">
        <v>419</v>
      </c>
      <c r="E147" s="8"/>
    </row>
    <row r="148" spans="1:5" s="18" customFormat="1">
      <c r="A148" s="11" t="s">
        <v>309</v>
      </c>
      <c r="B148" s="5" t="s">
        <v>41</v>
      </c>
      <c r="C148" s="133">
        <v>988100410</v>
      </c>
      <c r="D148" s="7" t="s">
        <v>420</v>
      </c>
      <c r="E148" s="8"/>
    </row>
    <row r="149" spans="1:5" s="18" customFormat="1">
      <c r="A149" s="11" t="s">
        <v>25</v>
      </c>
      <c r="B149" s="11" t="s">
        <v>7</v>
      </c>
      <c r="C149" s="133">
        <v>200018</v>
      </c>
      <c r="D149" s="7" t="s">
        <v>421</v>
      </c>
      <c r="E149" s="8"/>
    </row>
    <row r="150" spans="1:5" s="18" customFormat="1">
      <c r="A150" s="5" t="s">
        <v>25</v>
      </c>
      <c r="B150" s="5" t="s">
        <v>7</v>
      </c>
      <c r="C150" s="133">
        <v>200016</v>
      </c>
      <c r="D150" s="7" t="s">
        <v>422</v>
      </c>
      <c r="E150" s="101"/>
    </row>
    <row r="151" spans="1:5" s="18" customFormat="1">
      <c r="A151" s="11" t="s">
        <v>25</v>
      </c>
      <c r="B151" s="11" t="s">
        <v>7</v>
      </c>
      <c r="C151" s="133">
        <v>500011</v>
      </c>
      <c r="D151" s="7" t="s">
        <v>423</v>
      </c>
      <c r="E151" s="101"/>
    </row>
    <row r="152" spans="1:5" s="18" customFormat="1">
      <c r="A152" s="11" t="s">
        <v>25</v>
      </c>
      <c r="B152" s="11" t="s">
        <v>7</v>
      </c>
      <c r="C152" s="133">
        <v>500045</v>
      </c>
      <c r="D152" s="7" t="s">
        <v>424</v>
      </c>
      <c r="E152" s="101"/>
    </row>
    <row r="153" spans="1:5" s="18" customFormat="1">
      <c r="A153" s="11" t="s">
        <v>25</v>
      </c>
      <c r="B153" s="11" t="s">
        <v>7</v>
      </c>
      <c r="C153" s="133">
        <v>200047</v>
      </c>
      <c r="D153" s="7" t="s">
        <v>425</v>
      </c>
      <c r="E153" s="101"/>
    </row>
    <row r="154" spans="1:5" s="18" customFormat="1">
      <c r="A154" s="11" t="s">
        <v>25</v>
      </c>
      <c r="B154" s="11" t="s">
        <v>7</v>
      </c>
      <c r="C154" s="133">
        <v>200048</v>
      </c>
      <c r="D154" s="7" t="s">
        <v>426</v>
      </c>
      <c r="E154" s="101"/>
    </row>
    <row r="155" spans="1:5" s="18" customFormat="1">
      <c r="A155" s="11" t="s">
        <v>25</v>
      </c>
      <c r="B155" s="11" t="s">
        <v>7</v>
      </c>
      <c r="C155" s="133">
        <v>200099</v>
      </c>
      <c r="D155" s="7" t="s">
        <v>427</v>
      </c>
      <c r="E155" s="101"/>
    </row>
    <row r="156" spans="1:5" s="18" customFormat="1">
      <c r="A156" s="11" t="s">
        <v>25</v>
      </c>
      <c r="B156" s="11" t="s">
        <v>7</v>
      </c>
      <c r="C156" s="133">
        <v>200116</v>
      </c>
      <c r="D156" s="7" t="s">
        <v>428</v>
      </c>
      <c r="E156" s="101"/>
    </row>
    <row r="157" spans="1:5" s="18" customFormat="1">
      <c r="A157" s="11" t="s">
        <v>25</v>
      </c>
      <c r="B157" s="11" t="s">
        <v>7</v>
      </c>
      <c r="C157" s="133">
        <v>200015</v>
      </c>
      <c r="D157" s="7" t="s">
        <v>429</v>
      </c>
      <c r="E157" s="101"/>
    </row>
    <row r="158" spans="1:5" s="18" customFormat="1">
      <c r="A158" s="11" t="s">
        <v>25</v>
      </c>
      <c r="B158" s="11" t="s">
        <v>7</v>
      </c>
      <c r="C158" s="133">
        <v>200071</v>
      </c>
      <c r="D158" s="7" t="s">
        <v>430</v>
      </c>
      <c r="E158" s="101"/>
    </row>
    <row r="159" spans="1:5" s="18" customFormat="1">
      <c r="A159" s="11" t="s">
        <v>25</v>
      </c>
      <c r="B159" s="11" t="s">
        <v>7</v>
      </c>
      <c r="C159" s="133">
        <v>988100425</v>
      </c>
      <c r="D159" s="7" t="s">
        <v>431</v>
      </c>
      <c r="E159" s="101"/>
    </row>
    <row r="160" spans="1:5" s="18" customFormat="1">
      <c r="A160" s="11" t="s">
        <v>40</v>
      </c>
      <c r="B160" s="5" t="s">
        <v>41</v>
      </c>
      <c r="C160" s="133">
        <v>910064</v>
      </c>
      <c r="D160" s="7" t="s">
        <v>261</v>
      </c>
      <c r="E160" s="101"/>
    </row>
    <row r="161" spans="1:5" s="18" customFormat="1">
      <c r="A161" s="11" t="s">
        <v>40</v>
      </c>
      <c r="B161" s="5" t="s">
        <v>41</v>
      </c>
      <c r="C161" s="133">
        <v>990097</v>
      </c>
      <c r="D161" s="7" t="s">
        <v>218</v>
      </c>
      <c r="E161" s="101">
        <v>10</v>
      </c>
    </row>
    <row r="162" spans="1:5" s="18" customFormat="1">
      <c r="A162" s="11" t="s">
        <v>6</v>
      </c>
      <c r="B162" s="5" t="s">
        <v>7</v>
      </c>
      <c r="C162" s="133">
        <v>988100431</v>
      </c>
      <c r="D162" s="7" t="s">
        <v>432</v>
      </c>
      <c r="E162" s="101"/>
    </row>
    <row r="163" spans="1:5" s="18" customFormat="1">
      <c r="A163" s="11" t="s">
        <v>40</v>
      </c>
      <c r="B163" s="5" t="s">
        <v>41</v>
      </c>
      <c r="C163" s="133">
        <v>988100276</v>
      </c>
      <c r="D163" s="7" t="s">
        <v>433</v>
      </c>
      <c r="E163" s="101"/>
    </row>
    <row r="164" spans="1:5" s="18" customFormat="1">
      <c r="A164" s="11" t="s">
        <v>25</v>
      </c>
      <c r="B164" s="5" t="s">
        <v>7</v>
      </c>
      <c r="C164" s="133">
        <v>990140</v>
      </c>
      <c r="D164" s="7" t="s">
        <v>434</v>
      </c>
      <c r="E164" s="101"/>
    </row>
    <row r="165" spans="1:5" s="18" customFormat="1">
      <c r="A165" s="11" t="s">
        <v>25</v>
      </c>
      <c r="B165" s="5" t="s">
        <v>7</v>
      </c>
      <c r="C165" s="133">
        <v>990139</v>
      </c>
      <c r="D165" s="7" t="s">
        <v>435</v>
      </c>
      <c r="E165" s="101"/>
    </row>
    <row r="166" spans="1:5" s="18" customFormat="1">
      <c r="A166" s="11" t="s">
        <v>25</v>
      </c>
      <c r="B166" s="11" t="s">
        <v>7</v>
      </c>
      <c r="C166" s="133">
        <v>988100435</v>
      </c>
      <c r="D166" s="7" t="s">
        <v>118</v>
      </c>
      <c r="E166" s="101"/>
    </row>
    <row r="167" spans="1:5" s="18" customFormat="1">
      <c r="A167" s="11" t="s">
        <v>124</v>
      </c>
      <c r="B167" s="11" t="s">
        <v>7</v>
      </c>
      <c r="C167" s="133">
        <v>988100436</v>
      </c>
      <c r="D167" s="7" t="s">
        <v>436</v>
      </c>
      <c r="E167" s="101"/>
    </row>
    <row r="168" spans="1:5" s="18" customFormat="1">
      <c r="A168" s="11" t="s">
        <v>124</v>
      </c>
      <c r="B168" s="11" t="s">
        <v>7</v>
      </c>
      <c r="C168" s="133">
        <v>988100437</v>
      </c>
      <c r="D168" s="7" t="s">
        <v>437</v>
      </c>
      <c r="E168" s="101"/>
    </row>
    <row r="169" spans="1:5" s="18" customFormat="1">
      <c r="A169" s="11" t="s">
        <v>25</v>
      </c>
      <c r="B169" s="11" t="s">
        <v>41</v>
      </c>
      <c r="C169" s="133">
        <v>988100438</v>
      </c>
      <c r="D169" s="7" t="s">
        <v>79</v>
      </c>
      <c r="E169" s="101"/>
    </row>
    <row r="170" spans="1:5" s="18" customFormat="1">
      <c r="A170" s="11" t="s">
        <v>25</v>
      </c>
      <c r="B170" s="11" t="s">
        <v>41</v>
      </c>
      <c r="C170" s="133">
        <v>988100439</v>
      </c>
      <c r="D170" s="7" t="s">
        <v>80</v>
      </c>
      <c r="E170" s="101"/>
    </row>
    <row r="171" spans="1:5" s="18" customFormat="1">
      <c r="A171" s="11" t="s">
        <v>25</v>
      </c>
      <c r="B171" s="11" t="s">
        <v>41</v>
      </c>
      <c r="C171" s="133">
        <v>988100440</v>
      </c>
      <c r="D171" s="7" t="s">
        <v>81</v>
      </c>
      <c r="E171" s="101"/>
    </row>
    <row r="172" spans="1:5" s="18" customFormat="1">
      <c r="A172" s="11" t="s">
        <v>25</v>
      </c>
      <c r="B172" s="11" t="s">
        <v>41</v>
      </c>
      <c r="C172" s="133">
        <v>988100441</v>
      </c>
      <c r="D172" s="7" t="s">
        <v>82</v>
      </c>
      <c r="E172" s="101"/>
    </row>
    <row r="173" spans="1:5" s="18" customFormat="1">
      <c r="A173" s="11" t="s">
        <v>25</v>
      </c>
      <c r="B173" s="11" t="s">
        <v>41</v>
      </c>
      <c r="C173" s="133">
        <v>988100442</v>
      </c>
      <c r="D173" s="7" t="s">
        <v>83</v>
      </c>
      <c r="E173" s="101"/>
    </row>
    <row r="174" spans="1:5" s="18" customFormat="1">
      <c r="A174" s="11" t="s">
        <v>25</v>
      </c>
      <c r="B174" s="11" t="s">
        <v>41</v>
      </c>
      <c r="C174" s="133">
        <v>988100443</v>
      </c>
      <c r="D174" s="7" t="s">
        <v>84</v>
      </c>
      <c r="E174" s="101"/>
    </row>
    <row r="175" spans="1:5" s="18" customFormat="1">
      <c r="A175" s="11" t="s">
        <v>25</v>
      </c>
      <c r="B175" s="11" t="s">
        <v>7</v>
      </c>
      <c r="C175" s="133">
        <v>200235</v>
      </c>
      <c r="D175" s="7" t="s">
        <v>119</v>
      </c>
      <c r="E175" s="101"/>
    </row>
    <row r="176" spans="1:5" s="18" customFormat="1">
      <c r="A176" s="11" t="s">
        <v>124</v>
      </c>
      <c r="B176" s="11" t="s">
        <v>41</v>
      </c>
      <c r="C176" s="133">
        <v>988100446</v>
      </c>
      <c r="D176" s="7" t="s">
        <v>438</v>
      </c>
      <c r="E176" s="101"/>
    </row>
    <row r="177" spans="1:5" s="18" customFormat="1">
      <c r="A177" s="11" t="s">
        <v>124</v>
      </c>
      <c r="B177" s="11" t="s">
        <v>41</v>
      </c>
      <c r="C177" s="133">
        <v>988100447</v>
      </c>
      <c r="D177" s="7" t="s">
        <v>439</v>
      </c>
      <c r="E177" s="101"/>
    </row>
    <row r="178" spans="1:5" s="18" customFormat="1">
      <c r="A178" s="11" t="s">
        <v>124</v>
      </c>
      <c r="B178" s="11" t="s">
        <v>41</v>
      </c>
      <c r="C178" s="133">
        <v>988100448</v>
      </c>
      <c r="D178" s="7" t="s">
        <v>440</v>
      </c>
      <c r="E178" s="101"/>
    </row>
    <row r="179" spans="1:5" s="18" customFormat="1">
      <c r="A179" s="11" t="s">
        <v>124</v>
      </c>
      <c r="B179" s="11" t="s">
        <v>41</v>
      </c>
      <c r="C179" s="133">
        <v>988100451</v>
      </c>
      <c r="D179" s="7" t="s">
        <v>441</v>
      </c>
      <c r="E179" s="101"/>
    </row>
    <row r="180" spans="1:5" s="18" customFormat="1">
      <c r="A180" s="5" t="s">
        <v>25</v>
      </c>
      <c r="B180" s="5" t="s">
        <v>41</v>
      </c>
      <c r="C180" s="133">
        <v>988100453</v>
      </c>
      <c r="D180" s="19" t="s">
        <v>85</v>
      </c>
      <c r="E180" s="101"/>
    </row>
    <row r="181" spans="1:5" s="18" customFormat="1">
      <c r="A181" s="11" t="s">
        <v>25</v>
      </c>
      <c r="B181" s="11" t="s">
        <v>7</v>
      </c>
      <c r="C181" s="133">
        <v>988100454</v>
      </c>
      <c r="D181" s="19" t="s">
        <v>442</v>
      </c>
      <c r="E181" s="101"/>
    </row>
    <row r="182" spans="1:5" s="18" customFormat="1">
      <c r="A182" s="11" t="s">
        <v>89</v>
      </c>
      <c r="B182" s="11" t="s">
        <v>7</v>
      </c>
      <c r="C182" s="137">
        <v>300046</v>
      </c>
      <c r="D182" s="103" t="s">
        <v>116</v>
      </c>
      <c r="E182" s="101">
        <v>38</v>
      </c>
    </row>
    <row r="183" spans="1:5" s="18" customFormat="1">
      <c r="A183" s="11" t="s">
        <v>89</v>
      </c>
      <c r="B183" s="11" t="s">
        <v>7</v>
      </c>
      <c r="C183" s="138">
        <v>988100040</v>
      </c>
      <c r="D183" s="104" t="s">
        <v>100</v>
      </c>
      <c r="E183" s="101">
        <v>56</v>
      </c>
    </row>
    <row r="184" spans="1:5" s="18" customFormat="1">
      <c r="A184" s="5" t="s">
        <v>6</v>
      </c>
      <c r="B184" s="5" t="s">
        <v>7</v>
      </c>
      <c r="C184" s="139">
        <v>100122</v>
      </c>
      <c r="D184" s="106" t="s">
        <v>443</v>
      </c>
      <c r="E184" s="101"/>
    </row>
    <row r="185" spans="1:5" s="18" customFormat="1">
      <c r="A185" s="5" t="s">
        <v>25</v>
      </c>
      <c r="B185" s="5" t="s">
        <v>7</v>
      </c>
      <c r="C185" s="140">
        <v>988100456</v>
      </c>
      <c r="D185" s="108" t="s">
        <v>26</v>
      </c>
      <c r="E185" s="101">
        <v>138</v>
      </c>
    </row>
    <row r="186" spans="1:5" s="18" customFormat="1">
      <c r="A186" s="5" t="s">
        <v>6</v>
      </c>
      <c r="B186" s="5" t="s">
        <v>7</v>
      </c>
      <c r="C186" s="141">
        <v>100211</v>
      </c>
      <c r="D186" s="56" t="s">
        <v>444</v>
      </c>
      <c r="E186" s="101"/>
    </row>
    <row r="187" spans="1:5" s="18" customFormat="1">
      <c r="A187" s="5" t="s">
        <v>25</v>
      </c>
      <c r="B187" s="5" t="s">
        <v>7</v>
      </c>
      <c r="C187" s="141">
        <v>988100458</v>
      </c>
      <c r="D187" s="56" t="s">
        <v>445</v>
      </c>
      <c r="E187" s="101"/>
    </row>
    <row r="188" spans="1:5" s="18" customFormat="1">
      <c r="A188" s="11" t="s">
        <v>40</v>
      </c>
      <c r="B188" s="5" t="s">
        <v>41</v>
      </c>
      <c r="C188" s="141">
        <v>910055</v>
      </c>
      <c r="D188" s="56" t="s">
        <v>257</v>
      </c>
      <c r="E188" s="101">
        <v>4</v>
      </c>
    </row>
    <row r="189" spans="1:5" s="18" customFormat="1">
      <c r="A189" s="11" t="s">
        <v>40</v>
      </c>
      <c r="B189" s="5" t="s">
        <v>41</v>
      </c>
      <c r="C189" s="133">
        <v>910056</v>
      </c>
      <c r="D189" s="7" t="s">
        <v>43</v>
      </c>
      <c r="E189" s="8"/>
    </row>
    <row r="190" spans="1:5" s="18" customFormat="1">
      <c r="A190" s="5" t="s">
        <v>40</v>
      </c>
      <c r="B190" s="5" t="s">
        <v>41</v>
      </c>
      <c r="C190" s="133">
        <v>988100450</v>
      </c>
      <c r="D190" s="19" t="s">
        <v>446</v>
      </c>
      <c r="E190" s="101"/>
    </row>
    <row r="191" spans="1:5" s="18" customFormat="1">
      <c r="A191" s="5" t="s">
        <v>6</v>
      </c>
      <c r="B191" s="5" t="s">
        <v>41</v>
      </c>
      <c r="C191" s="141">
        <v>988100461</v>
      </c>
      <c r="D191" s="65" t="s">
        <v>447</v>
      </c>
      <c r="E191" s="101"/>
    </row>
    <row r="192" spans="1:5" s="18" customFormat="1">
      <c r="A192" s="11" t="s">
        <v>6</v>
      </c>
      <c r="B192" s="5" t="s">
        <v>7</v>
      </c>
      <c r="C192" s="141">
        <v>988100462</v>
      </c>
      <c r="D192" s="19" t="s">
        <v>448</v>
      </c>
      <c r="E192" s="101"/>
    </row>
    <row r="193" spans="1:5" s="18" customFormat="1">
      <c r="A193" s="11" t="s">
        <v>6</v>
      </c>
      <c r="B193" s="5" t="s">
        <v>7</v>
      </c>
      <c r="C193" s="141">
        <v>988100463</v>
      </c>
      <c r="D193" s="65" t="s">
        <v>449</v>
      </c>
      <c r="E193" s="101"/>
    </row>
    <row r="194" spans="1:5" s="18" customFormat="1">
      <c r="A194" s="11" t="s">
        <v>25</v>
      </c>
      <c r="B194" s="11" t="s">
        <v>41</v>
      </c>
      <c r="C194" s="141">
        <v>988100465</v>
      </c>
      <c r="D194" s="19" t="s">
        <v>86</v>
      </c>
      <c r="E194" s="101"/>
    </row>
    <row r="195" spans="1:5" s="18" customFormat="1">
      <c r="A195" s="11" t="s">
        <v>25</v>
      </c>
      <c r="B195" s="11" t="s">
        <v>41</v>
      </c>
      <c r="C195" s="141">
        <v>988100466</v>
      </c>
      <c r="D195" s="19" t="s">
        <v>87</v>
      </c>
      <c r="E195" s="101"/>
    </row>
    <row r="196" spans="1:5" s="18" customFormat="1">
      <c r="A196" s="5" t="s">
        <v>25</v>
      </c>
      <c r="B196" s="5" t="s">
        <v>7</v>
      </c>
      <c r="C196" s="141">
        <v>988100467</v>
      </c>
      <c r="D196" s="65" t="s">
        <v>88</v>
      </c>
      <c r="E196" s="101"/>
    </row>
    <row r="197" spans="1:5" s="18" customFormat="1">
      <c r="A197" s="11" t="s">
        <v>124</v>
      </c>
      <c r="B197" s="11" t="s">
        <v>7</v>
      </c>
      <c r="C197" s="141">
        <v>990114</v>
      </c>
      <c r="D197" s="56" t="s">
        <v>194</v>
      </c>
      <c r="E197" s="101"/>
    </row>
    <row r="198" spans="1:5" s="18" customFormat="1">
      <c r="A198" s="11" t="s">
        <v>25</v>
      </c>
      <c r="B198" s="11" t="s">
        <v>41</v>
      </c>
      <c r="C198" s="141">
        <v>988100469</v>
      </c>
      <c r="D198" s="56" t="s">
        <v>153</v>
      </c>
      <c r="E198" s="101">
        <v>3</v>
      </c>
    </row>
    <row r="199" spans="1:5" s="18" customFormat="1">
      <c r="A199" s="11" t="s">
        <v>25</v>
      </c>
      <c r="B199" s="11" t="s">
        <v>7</v>
      </c>
      <c r="C199" s="141">
        <v>200082</v>
      </c>
      <c r="D199" s="56" t="s">
        <v>450</v>
      </c>
      <c r="E199" s="101"/>
    </row>
    <row r="200" spans="1:5" s="18" customFormat="1">
      <c r="A200" s="5" t="s">
        <v>40</v>
      </c>
      <c r="B200" s="5" t="s">
        <v>41</v>
      </c>
      <c r="C200" s="142">
        <v>988100484</v>
      </c>
      <c r="D200" s="56" t="s">
        <v>55</v>
      </c>
      <c r="E200" s="101"/>
    </row>
    <row r="201" spans="1:5" s="18" customFormat="1">
      <c r="A201" s="11" t="s">
        <v>309</v>
      </c>
      <c r="B201" s="11" t="s">
        <v>41</v>
      </c>
      <c r="C201" s="142">
        <v>988100490</v>
      </c>
      <c r="D201" s="17" t="s">
        <v>451</v>
      </c>
      <c r="E201" s="8"/>
    </row>
    <row r="202" spans="1:5" s="18" customFormat="1">
      <c r="A202" s="11" t="s">
        <v>309</v>
      </c>
      <c r="B202" s="11" t="s">
        <v>41</v>
      </c>
      <c r="C202" s="142">
        <v>988100491</v>
      </c>
      <c r="D202" s="17" t="s">
        <v>452</v>
      </c>
      <c r="E202" s="8">
        <v>1</v>
      </c>
    </row>
    <row r="203" spans="1:5" s="18" customFormat="1">
      <c r="A203" s="11" t="s">
        <v>309</v>
      </c>
      <c r="B203" s="11" t="s">
        <v>41</v>
      </c>
      <c r="C203" s="142">
        <v>988100492</v>
      </c>
      <c r="D203" s="17" t="s">
        <v>453</v>
      </c>
      <c r="E203" s="8"/>
    </row>
    <row r="204" spans="1:5" s="18" customFormat="1">
      <c r="A204" s="11" t="s">
        <v>309</v>
      </c>
      <c r="B204" s="11" t="s">
        <v>41</v>
      </c>
      <c r="C204" s="142">
        <v>988100493</v>
      </c>
      <c r="D204" s="17" t="s">
        <v>454</v>
      </c>
      <c r="E204" s="8"/>
    </row>
    <row r="205" spans="1:5" s="18" customFormat="1">
      <c r="A205" s="11" t="s">
        <v>309</v>
      </c>
      <c r="B205" s="11" t="s">
        <v>41</v>
      </c>
      <c r="C205" s="142">
        <v>988100494</v>
      </c>
      <c r="D205" s="17" t="s">
        <v>455</v>
      </c>
      <c r="E205" s="8"/>
    </row>
    <row r="206" spans="1:5" s="18" customFormat="1">
      <c r="A206" s="11" t="s">
        <v>309</v>
      </c>
      <c r="B206" s="11" t="s">
        <v>41</v>
      </c>
      <c r="C206" s="142">
        <v>988100495</v>
      </c>
      <c r="D206" s="17" t="s">
        <v>456</v>
      </c>
      <c r="E206" s="8"/>
    </row>
    <row r="207" spans="1:5" s="18" customFormat="1">
      <c r="A207" s="11" t="s">
        <v>309</v>
      </c>
      <c r="B207" s="11" t="s">
        <v>41</v>
      </c>
      <c r="C207" s="142">
        <v>988100496</v>
      </c>
      <c r="D207" s="17" t="s">
        <v>457</v>
      </c>
      <c r="E207" s="8"/>
    </row>
    <row r="208" spans="1:5" s="18" customFormat="1">
      <c r="A208" s="11" t="s">
        <v>309</v>
      </c>
      <c r="B208" s="11" t="s">
        <v>41</v>
      </c>
      <c r="C208" s="142">
        <v>988100497</v>
      </c>
      <c r="D208" s="17" t="s">
        <v>458</v>
      </c>
      <c r="E208" s="8"/>
    </row>
    <row r="209" spans="1:5" s="18" customFormat="1">
      <c r="A209" s="11" t="s">
        <v>309</v>
      </c>
      <c r="B209" s="11" t="s">
        <v>41</v>
      </c>
      <c r="C209" s="142">
        <v>988100498</v>
      </c>
      <c r="D209" s="17" t="s">
        <v>401</v>
      </c>
      <c r="E209" s="8"/>
    </row>
    <row r="210" spans="1:5" s="18" customFormat="1">
      <c r="A210" s="11" t="s">
        <v>309</v>
      </c>
      <c r="B210" s="11" t="s">
        <v>41</v>
      </c>
      <c r="C210" s="142">
        <v>988100499</v>
      </c>
      <c r="D210" s="17" t="s">
        <v>357</v>
      </c>
      <c r="E210" s="8"/>
    </row>
    <row r="211" spans="1:5" s="18" customFormat="1">
      <c r="A211" s="11" t="s">
        <v>309</v>
      </c>
      <c r="B211" s="11" t="s">
        <v>41</v>
      </c>
      <c r="C211" s="142">
        <v>988100500</v>
      </c>
      <c r="D211" s="17" t="s">
        <v>459</v>
      </c>
      <c r="E211" s="8"/>
    </row>
    <row r="212" spans="1:5" s="18" customFormat="1">
      <c r="A212" s="11" t="s">
        <v>309</v>
      </c>
      <c r="B212" s="11" t="s">
        <v>41</v>
      </c>
      <c r="C212" s="142">
        <v>988100501</v>
      </c>
      <c r="D212" s="17" t="s">
        <v>460</v>
      </c>
      <c r="E212" s="8"/>
    </row>
    <row r="213" spans="1:5" s="18" customFormat="1">
      <c r="A213" s="11" t="s">
        <v>309</v>
      </c>
      <c r="B213" s="11" t="s">
        <v>41</v>
      </c>
      <c r="C213" s="142">
        <v>988100502</v>
      </c>
      <c r="D213" s="17" t="s">
        <v>461</v>
      </c>
      <c r="E213" s="8"/>
    </row>
    <row r="214" spans="1:5" s="18" customFormat="1">
      <c r="A214" s="11" t="s">
        <v>309</v>
      </c>
      <c r="B214" s="11" t="s">
        <v>41</v>
      </c>
      <c r="C214" s="142">
        <v>988100503</v>
      </c>
      <c r="D214" s="17" t="s">
        <v>462</v>
      </c>
      <c r="E214" s="8"/>
    </row>
    <row r="215" spans="1:5" s="18" customFormat="1">
      <c r="A215" s="11" t="s">
        <v>309</v>
      </c>
      <c r="B215" s="11" t="s">
        <v>41</v>
      </c>
      <c r="C215" s="142">
        <v>988100504</v>
      </c>
      <c r="D215" s="17" t="s">
        <v>463</v>
      </c>
      <c r="E215" s="8"/>
    </row>
    <row r="216" spans="1:5" s="18" customFormat="1">
      <c r="A216" s="11" t="s">
        <v>309</v>
      </c>
      <c r="B216" s="11" t="s">
        <v>41</v>
      </c>
      <c r="C216" s="142">
        <v>988100505</v>
      </c>
      <c r="D216" s="17" t="s">
        <v>464</v>
      </c>
      <c r="E216" s="8"/>
    </row>
    <row r="217" spans="1:5" s="18" customFormat="1">
      <c r="A217" s="11" t="s">
        <v>309</v>
      </c>
      <c r="B217" s="11" t="s">
        <v>41</v>
      </c>
      <c r="C217" s="142">
        <v>988100506</v>
      </c>
      <c r="D217" s="17" t="s">
        <v>465</v>
      </c>
      <c r="E217" s="8"/>
    </row>
    <row r="218" spans="1:5" s="18" customFormat="1">
      <c r="A218" s="11" t="s">
        <v>309</v>
      </c>
      <c r="B218" s="11" t="s">
        <v>41</v>
      </c>
      <c r="C218" s="142">
        <v>988100507</v>
      </c>
      <c r="D218" s="17" t="s">
        <v>466</v>
      </c>
      <c r="E218" s="8"/>
    </row>
    <row r="219" spans="1:5" s="18" customFormat="1">
      <c r="A219" s="11" t="s">
        <v>309</v>
      </c>
      <c r="B219" s="11" t="s">
        <v>41</v>
      </c>
      <c r="C219" s="142">
        <v>988100508</v>
      </c>
      <c r="D219" s="17" t="s">
        <v>467</v>
      </c>
      <c r="E219" s="8"/>
    </row>
    <row r="220" spans="1:5" s="18" customFormat="1">
      <c r="A220" s="11" t="s">
        <v>309</v>
      </c>
      <c r="B220" s="11" t="s">
        <v>41</v>
      </c>
      <c r="C220" s="142">
        <v>988100509</v>
      </c>
      <c r="D220" s="17" t="s">
        <v>468</v>
      </c>
      <c r="E220" s="8"/>
    </row>
    <row r="221" spans="1:5" s="18" customFormat="1">
      <c r="A221" s="11" t="s">
        <v>309</v>
      </c>
      <c r="B221" s="11" t="s">
        <v>41</v>
      </c>
      <c r="C221" s="142">
        <v>988100510</v>
      </c>
      <c r="D221" s="17" t="s">
        <v>469</v>
      </c>
      <c r="E221" s="8"/>
    </row>
    <row r="222" spans="1:5" s="18" customFormat="1">
      <c r="A222" s="11" t="s">
        <v>309</v>
      </c>
      <c r="B222" s="11" t="s">
        <v>41</v>
      </c>
      <c r="C222" s="142">
        <v>988100511</v>
      </c>
      <c r="D222" s="17" t="s">
        <v>470</v>
      </c>
      <c r="E222" s="8"/>
    </row>
    <row r="223" spans="1:5" s="18" customFormat="1">
      <c r="A223" s="11" t="s">
        <v>309</v>
      </c>
      <c r="B223" s="11" t="s">
        <v>41</v>
      </c>
      <c r="C223" s="142">
        <v>988100512</v>
      </c>
      <c r="D223" s="17" t="s">
        <v>471</v>
      </c>
      <c r="E223" s="8"/>
    </row>
    <row r="224" spans="1:5" s="18" customFormat="1">
      <c r="A224" s="11" t="s">
        <v>309</v>
      </c>
      <c r="B224" s="11" t="s">
        <v>41</v>
      </c>
      <c r="C224" s="142">
        <v>988100513</v>
      </c>
      <c r="D224" s="17" t="s">
        <v>472</v>
      </c>
      <c r="E224" s="8"/>
    </row>
    <row r="225" spans="1:5" s="18" customFormat="1">
      <c r="A225" s="11" t="s">
        <v>309</v>
      </c>
      <c r="B225" s="11" t="s">
        <v>41</v>
      </c>
      <c r="C225" s="142">
        <v>988100514</v>
      </c>
      <c r="D225" s="17" t="s">
        <v>473</v>
      </c>
      <c r="E225" s="8"/>
    </row>
    <row r="226" spans="1:5" s="18" customFormat="1">
      <c r="A226" s="11" t="s">
        <v>309</v>
      </c>
      <c r="B226" s="11" t="s">
        <v>41</v>
      </c>
      <c r="C226" s="142">
        <v>988100515</v>
      </c>
      <c r="D226" s="17" t="s">
        <v>474</v>
      </c>
      <c r="E226" s="8">
        <v>1</v>
      </c>
    </row>
    <row r="227" spans="1:5" s="18" customFormat="1">
      <c r="A227" s="11" t="s">
        <v>309</v>
      </c>
      <c r="B227" s="11" t="s">
        <v>41</v>
      </c>
      <c r="C227" s="142">
        <v>988100516</v>
      </c>
      <c r="D227" s="17" t="s">
        <v>475</v>
      </c>
      <c r="E227" s="8"/>
    </row>
    <row r="228" spans="1:5" s="18" customFormat="1">
      <c r="A228" s="11" t="s">
        <v>309</v>
      </c>
      <c r="B228" s="11" t="s">
        <v>41</v>
      </c>
      <c r="C228" s="142">
        <v>988100517</v>
      </c>
      <c r="D228" s="17" t="s">
        <v>476</v>
      </c>
      <c r="E228" s="8"/>
    </row>
    <row r="229" spans="1:5" s="18" customFormat="1">
      <c r="A229" s="11" t="s">
        <v>309</v>
      </c>
      <c r="B229" s="11" t="s">
        <v>41</v>
      </c>
      <c r="C229" s="142">
        <v>988100518</v>
      </c>
      <c r="D229" s="17" t="s">
        <v>477</v>
      </c>
      <c r="E229" s="8"/>
    </row>
    <row r="230" spans="1:5" s="18" customFormat="1">
      <c r="A230" s="11" t="s">
        <v>309</v>
      </c>
      <c r="B230" s="11" t="s">
        <v>41</v>
      </c>
      <c r="C230" s="142">
        <v>988100519</v>
      </c>
      <c r="D230" s="17" t="s">
        <v>478</v>
      </c>
      <c r="E230" s="8"/>
    </row>
    <row r="231" spans="1:5" s="18" customFormat="1">
      <c r="A231" s="11" t="s">
        <v>309</v>
      </c>
      <c r="B231" s="11" t="s">
        <v>41</v>
      </c>
      <c r="C231" s="142">
        <v>988100520</v>
      </c>
      <c r="D231" s="17" t="s">
        <v>479</v>
      </c>
      <c r="E231" s="8"/>
    </row>
    <row r="232" spans="1:5" s="18" customFormat="1">
      <c r="A232" s="11" t="s">
        <v>309</v>
      </c>
      <c r="B232" s="11" t="s">
        <v>41</v>
      </c>
      <c r="C232" s="142">
        <v>988100521</v>
      </c>
      <c r="D232" s="17" t="s">
        <v>480</v>
      </c>
      <c r="E232" s="8"/>
    </row>
    <row r="233" spans="1:5" s="18" customFormat="1">
      <c r="A233" s="11" t="s">
        <v>309</v>
      </c>
      <c r="B233" s="11" t="s">
        <v>41</v>
      </c>
      <c r="C233" s="142">
        <v>988100522</v>
      </c>
      <c r="D233" s="17" t="s">
        <v>481</v>
      </c>
      <c r="E233" s="8"/>
    </row>
    <row r="234" spans="1:5" s="18" customFormat="1">
      <c r="A234" s="11" t="s">
        <v>309</v>
      </c>
      <c r="B234" s="11" t="s">
        <v>41</v>
      </c>
      <c r="C234" s="142">
        <v>988100523</v>
      </c>
      <c r="D234" s="17" t="s">
        <v>482</v>
      </c>
      <c r="E234" s="8"/>
    </row>
    <row r="235" spans="1:5" s="18" customFormat="1">
      <c r="A235" s="11" t="s">
        <v>309</v>
      </c>
      <c r="B235" s="11" t="s">
        <v>41</v>
      </c>
      <c r="C235" s="142">
        <v>988100524</v>
      </c>
      <c r="D235" s="17" t="s">
        <v>483</v>
      </c>
      <c r="E235" s="8"/>
    </row>
    <row r="236" spans="1:5" s="18" customFormat="1">
      <c r="A236" s="11" t="s">
        <v>309</v>
      </c>
      <c r="B236" s="11" t="s">
        <v>41</v>
      </c>
      <c r="C236" s="142">
        <v>988100525</v>
      </c>
      <c r="D236" s="17" t="s">
        <v>484</v>
      </c>
      <c r="E236" s="8"/>
    </row>
    <row r="237" spans="1:5" s="18" customFormat="1">
      <c r="A237" s="11" t="s">
        <v>309</v>
      </c>
      <c r="B237" s="11" t="s">
        <v>41</v>
      </c>
      <c r="C237" s="142">
        <v>988100526</v>
      </c>
      <c r="D237" s="17" t="s">
        <v>485</v>
      </c>
      <c r="E237" s="8"/>
    </row>
    <row r="238" spans="1:5" s="18" customFormat="1">
      <c r="A238" s="11" t="s">
        <v>309</v>
      </c>
      <c r="B238" s="11" t="s">
        <v>41</v>
      </c>
      <c r="C238" s="142">
        <v>988100527</v>
      </c>
      <c r="D238" s="17" t="s">
        <v>486</v>
      </c>
      <c r="E238" s="8"/>
    </row>
    <row r="239" spans="1:5" s="18" customFormat="1">
      <c r="A239" s="11" t="s">
        <v>309</v>
      </c>
      <c r="B239" s="11" t="s">
        <v>41</v>
      </c>
      <c r="C239" s="142">
        <v>988100528</v>
      </c>
      <c r="D239" s="17" t="s">
        <v>487</v>
      </c>
      <c r="E239" s="8"/>
    </row>
    <row r="240" spans="1:5" s="18" customFormat="1">
      <c r="A240" s="11" t="s">
        <v>309</v>
      </c>
      <c r="B240" s="11" t="s">
        <v>41</v>
      </c>
      <c r="C240" s="142">
        <v>988100529</v>
      </c>
      <c r="D240" s="17" t="s">
        <v>488</v>
      </c>
      <c r="E240" s="8"/>
    </row>
    <row r="241" spans="1:5" s="18" customFormat="1">
      <c r="A241" s="11" t="s">
        <v>309</v>
      </c>
      <c r="B241" s="11" t="s">
        <v>41</v>
      </c>
      <c r="C241" s="142">
        <v>988100530</v>
      </c>
      <c r="D241" s="17" t="s">
        <v>489</v>
      </c>
      <c r="E241" s="8"/>
    </row>
    <row r="242" spans="1:5" s="18" customFormat="1">
      <c r="A242" s="11" t="s">
        <v>309</v>
      </c>
      <c r="B242" s="11" t="s">
        <v>41</v>
      </c>
      <c r="C242" s="142">
        <v>988100531</v>
      </c>
      <c r="D242" s="17" t="s">
        <v>490</v>
      </c>
      <c r="E242" s="8"/>
    </row>
    <row r="243" spans="1:5" s="18" customFormat="1">
      <c r="A243" s="11" t="s">
        <v>309</v>
      </c>
      <c r="B243" s="11" t="s">
        <v>41</v>
      </c>
      <c r="C243" s="142">
        <v>988100532</v>
      </c>
      <c r="D243" s="17" t="s">
        <v>491</v>
      </c>
      <c r="E243" s="8"/>
    </row>
    <row r="244" spans="1:5" s="18" customFormat="1">
      <c r="A244" s="11" t="s">
        <v>309</v>
      </c>
      <c r="B244" s="11" t="s">
        <v>41</v>
      </c>
      <c r="C244" s="133">
        <v>988100533</v>
      </c>
      <c r="D244" s="17" t="s">
        <v>492</v>
      </c>
      <c r="E244" s="8"/>
    </row>
    <row r="245" spans="1:5" s="18" customFormat="1">
      <c r="A245" s="11" t="s">
        <v>25</v>
      </c>
      <c r="B245" s="11" t="s">
        <v>7</v>
      </c>
      <c r="C245" s="133">
        <v>988100535</v>
      </c>
      <c r="D245" s="17" t="s">
        <v>493</v>
      </c>
      <c r="E245" s="101"/>
    </row>
    <row r="246" spans="1:5" s="18" customFormat="1">
      <c r="A246" s="11" t="s">
        <v>25</v>
      </c>
      <c r="B246" s="11" t="s">
        <v>7</v>
      </c>
      <c r="C246" s="134">
        <v>988100471</v>
      </c>
      <c r="D246" s="110" t="s">
        <v>494</v>
      </c>
      <c r="E246" s="101">
        <v>22</v>
      </c>
    </row>
    <row r="247" spans="1:5" s="18" customFormat="1">
      <c r="A247" s="11" t="s">
        <v>25</v>
      </c>
      <c r="B247" s="11" t="s">
        <v>7</v>
      </c>
      <c r="C247" s="143">
        <v>200259</v>
      </c>
      <c r="D247" s="15" t="s">
        <v>495</v>
      </c>
      <c r="E247" s="101"/>
    </row>
    <row r="248" spans="1:5" s="18" customFormat="1">
      <c r="A248" s="11" t="s">
        <v>25</v>
      </c>
      <c r="B248" s="11" t="s">
        <v>7</v>
      </c>
      <c r="C248" s="144">
        <v>988100539</v>
      </c>
      <c r="D248" s="112" t="s">
        <v>36</v>
      </c>
      <c r="E248" s="101"/>
    </row>
    <row r="249" spans="1:5" s="18" customFormat="1">
      <c r="A249" s="11" t="s">
        <v>25</v>
      </c>
      <c r="B249" s="11" t="s">
        <v>7</v>
      </c>
      <c r="C249" s="136">
        <v>500056</v>
      </c>
      <c r="D249" s="40" t="s">
        <v>158</v>
      </c>
      <c r="E249" s="101">
        <v>12</v>
      </c>
    </row>
    <row r="250" spans="1:5" s="18" customFormat="1">
      <c r="A250" s="11" t="s">
        <v>25</v>
      </c>
      <c r="B250" s="11" t="s">
        <v>7</v>
      </c>
      <c r="C250" s="136">
        <v>500048</v>
      </c>
      <c r="D250" s="40" t="s">
        <v>37</v>
      </c>
      <c r="E250" s="101">
        <v>7</v>
      </c>
    </row>
    <row r="251" spans="1:5" s="18" customFormat="1">
      <c r="A251" s="11" t="s">
        <v>40</v>
      </c>
      <c r="B251" s="5" t="s">
        <v>41</v>
      </c>
      <c r="C251" s="133">
        <v>910057</v>
      </c>
      <c r="D251" s="7" t="s">
        <v>44</v>
      </c>
      <c r="E251" s="101"/>
    </row>
    <row r="252" spans="1:5" s="18" customFormat="1">
      <c r="A252" s="11" t="s">
        <v>40</v>
      </c>
      <c r="B252" s="5" t="s">
        <v>41</v>
      </c>
      <c r="C252" s="133">
        <v>910054</v>
      </c>
      <c r="D252" s="7" t="s">
        <v>496</v>
      </c>
      <c r="E252" s="101"/>
    </row>
    <row r="253" spans="1:5" s="18" customFormat="1">
      <c r="A253" s="11" t="s">
        <v>25</v>
      </c>
      <c r="B253" s="11" t="s">
        <v>7</v>
      </c>
      <c r="C253" s="136">
        <v>990089</v>
      </c>
      <c r="D253" s="40" t="s">
        <v>159</v>
      </c>
      <c r="E253" s="101">
        <v>50</v>
      </c>
    </row>
    <row r="254" spans="1:5" s="18" customFormat="1">
      <c r="A254" s="11" t="s">
        <v>25</v>
      </c>
      <c r="B254" s="11" t="s">
        <v>7</v>
      </c>
      <c r="C254" s="144">
        <v>988100540</v>
      </c>
      <c r="D254" s="112" t="s">
        <v>39</v>
      </c>
      <c r="E254" s="101">
        <v>50</v>
      </c>
    </row>
    <row r="255" spans="1:5" s="18" customFormat="1">
      <c r="A255" s="11" t="s">
        <v>25</v>
      </c>
      <c r="B255" s="11" t="s">
        <v>7</v>
      </c>
      <c r="C255" s="133">
        <v>988100541</v>
      </c>
      <c r="D255" s="15" t="s">
        <v>497</v>
      </c>
      <c r="E255" s="101"/>
    </row>
    <row r="256" spans="1:5" s="18" customFormat="1">
      <c r="A256" s="11" t="s">
        <v>6</v>
      </c>
      <c r="B256" s="11" t="s">
        <v>7</v>
      </c>
      <c r="C256" s="133">
        <v>988100545</v>
      </c>
      <c r="D256" s="15" t="s">
        <v>498</v>
      </c>
      <c r="E256" s="101"/>
    </row>
    <row r="257" spans="1:5" s="18" customFormat="1">
      <c r="A257" s="11" t="s">
        <v>6</v>
      </c>
      <c r="B257" s="11" t="s">
        <v>7</v>
      </c>
      <c r="C257" s="145">
        <v>988100445</v>
      </c>
      <c r="D257" s="15" t="s">
        <v>499</v>
      </c>
      <c r="E257" s="101"/>
    </row>
    <row r="258" spans="1:5" s="18" customFormat="1">
      <c r="A258" s="5" t="s">
        <v>40</v>
      </c>
      <c r="B258" s="5" t="s">
        <v>41</v>
      </c>
      <c r="C258" s="133">
        <v>990004</v>
      </c>
      <c r="D258" s="7" t="s">
        <v>45</v>
      </c>
      <c r="E258" s="8">
        <v>64</v>
      </c>
    </row>
    <row r="259" spans="1:5" s="18" customFormat="1">
      <c r="A259" s="5" t="s">
        <v>6</v>
      </c>
      <c r="B259" s="5" t="s">
        <v>7</v>
      </c>
      <c r="C259" s="133">
        <v>100080</v>
      </c>
      <c r="D259" s="7" t="s">
        <v>17</v>
      </c>
      <c r="E259" s="8">
        <v>88</v>
      </c>
    </row>
    <row r="260" spans="1:5" s="18" customFormat="1">
      <c r="A260" s="11" t="s">
        <v>6</v>
      </c>
      <c r="B260" s="11" t="s">
        <v>7</v>
      </c>
      <c r="C260" s="133">
        <v>988100538</v>
      </c>
      <c r="D260" s="15" t="s">
        <v>500</v>
      </c>
      <c r="E260" s="101"/>
    </row>
    <row r="261" spans="1:5" s="18" customFormat="1">
      <c r="A261" s="11" t="s">
        <v>6</v>
      </c>
      <c r="B261" s="11" t="s">
        <v>7</v>
      </c>
      <c r="C261" s="143">
        <v>100037</v>
      </c>
      <c r="D261" s="15" t="s">
        <v>167</v>
      </c>
      <c r="E261" s="101">
        <v>80</v>
      </c>
    </row>
    <row r="262" spans="1:5" s="18" customFormat="1">
      <c r="A262" s="11" t="s">
        <v>25</v>
      </c>
      <c r="B262" s="11" t="s">
        <v>7</v>
      </c>
      <c r="C262" s="143">
        <v>200423</v>
      </c>
      <c r="D262" s="15" t="s">
        <v>501</v>
      </c>
      <c r="E262" s="101">
        <v>17</v>
      </c>
    </row>
    <row r="263" spans="1:5" s="18" customFormat="1">
      <c r="A263" s="11" t="s">
        <v>6</v>
      </c>
      <c r="B263" s="11" t="s">
        <v>7</v>
      </c>
      <c r="C263" s="133">
        <v>988100546</v>
      </c>
      <c r="D263" s="110" t="s">
        <v>502</v>
      </c>
      <c r="E263" s="101"/>
    </row>
    <row r="264" spans="1:5" s="18" customFormat="1">
      <c r="A264" s="11" t="s">
        <v>6</v>
      </c>
      <c r="B264" s="11" t="s">
        <v>7</v>
      </c>
      <c r="C264" s="133">
        <v>988100547</v>
      </c>
      <c r="D264" s="110" t="s">
        <v>503</v>
      </c>
      <c r="E264" s="101"/>
    </row>
    <row r="265" spans="1:5" s="18" customFormat="1">
      <c r="A265" s="11" t="s">
        <v>25</v>
      </c>
      <c r="B265" s="11" t="s">
        <v>7</v>
      </c>
      <c r="C265" s="133">
        <v>988100534</v>
      </c>
      <c r="D265" s="19" t="s">
        <v>504</v>
      </c>
      <c r="E265" s="101"/>
    </row>
    <row r="266" spans="1:5" s="18" customFormat="1">
      <c r="A266" s="11" t="s">
        <v>309</v>
      </c>
      <c r="B266" s="11" t="s">
        <v>41</v>
      </c>
      <c r="C266" s="133">
        <v>988100549</v>
      </c>
      <c r="D266" s="114" t="s">
        <v>505</v>
      </c>
      <c r="E266" s="101"/>
    </row>
    <row r="267" spans="1:5" s="18" customFormat="1">
      <c r="A267" s="11" t="s">
        <v>309</v>
      </c>
      <c r="B267" s="11" t="s">
        <v>41</v>
      </c>
      <c r="C267" s="133">
        <v>988100550</v>
      </c>
      <c r="D267" s="17" t="s">
        <v>506</v>
      </c>
      <c r="E267" s="101"/>
    </row>
    <row r="268" spans="1:5" s="18" customFormat="1">
      <c r="A268" s="11" t="s">
        <v>309</v>
      </c>
      <c r="B268" s="11" t="s">
        <v>41</v>
      </c>
      <c r="C268" s="133">
        <v>988100551</v>
      </c>
      <c r="D268" s="17" t="s">
        <v>507</v>
      </c>
      <c r="E268" s="101"/>
    </row>
    <row r="269" spans="1:5" s="18" customFormat="1">
      <c r="A269" s="11" t="s">
        <v>309</v>
      </c>
      <c r="B269" s="11" t="s">
        <v>41</v>
      </c>
      <c r="C269" s="133">
        <v>988100552</v>
      </c>
      <c r="D269" s="17" t="s">
        <v>508</v>
      </c>
      <c r="E269" s="101"/>
    </row>
    <row r="270" spans="1:5" s="18" customFormat="1">
      <c r="A270" s="11" t="s">
        <v>309</v>
      </c>
      <c r="B270" s="11" t="s">
        <v>41</v>
      </c>
      <c r="C270" s="133">
        <v>988100553</v>
      </c>
      <c r="D270" s="17" t="s">
        <v>509</v>
      </c>
      <c r="E270" s="101"/>
    </row>
    <row r="271" spans="1:5" s="18" customFormat="1">
      <c r="A271" s="11" t="s">
        <v>309</v>
      </c>
      <c r="B271" s="11" t="s">
        <v>41</v>
      </c>
      <c r="C271" s="133">
        <v>988100554</v>
      </c>
      <c r="D271" s="17" t="s">
        <v>510</v>
      </c>
      <c r="E271" s="101"/>
    </row>
    <row r="272" spans="1:5" s="18" customFormat="1">
      <c r="A272" s="11" t="s">
        <v>25</v>
      </c>
      <c r="B272" s="11" t="s">
        <v>7</v>
      </c>
      <c r="C272" s="133">
        <v>988100566</v>
      </c>
      <c r="D272" s="15" t="s">
        <v>28</v>
      </c>
      <c r="E272" s="101">
        <v>130</v>
      </c>
    </row>
    <row r="273" spans="1:5" s="18" customFormat="1">
      <c r="A273" s="11" t="s">
        <v>309</v>
      </c>
      <c r="B273" s="11" t="s">
        <v>41</v>
      </c>
      <c r="C273" s="133">
        <v>988100556</v>
      </c>
      <c r="D273" s="17" t="s">
        <v>511</v>
      </c>
      <c r="E273" s="101"/>
    </row>
    <row r="274" spans="1:5" s="18" customFormat="1">
      <c r="A274" s="11" t="s">
        <v>309</v>
      </c>
      <c r="B274" s="11" t="s">
        <v>41</v>
      </c>
      <c r="C274" s="133">
        <v>988100557</v>
      </c>
      <c r="D274" s="17" t="s">
        <v>512</v>
      </c>
      <c r="E274" s="101"/>
    </row>
    <row r="275" spans="1:5" s="18" customFormat="1">
      <c r="A275" s="11" t="s">
        <v>25</v>
      </c>
      <c r="B275" s="11" t="s">
        <v>7</v>
      </c>
      <c r="C275" s="133">
        <v>988100597</v>
      </c>
      <c r="D275" s="15" t="s">
        <v>219</v>
      </c>
      <c r="E275" s="101">
        <v>90</v>
      </c>
    </row>
    <row r="276" spans="1:5" s="18" customFormat="1">
      <c r="A276" s="11" t="s">
        <v>309</v>
      </c>
      <c r="B276" s="11" t="s">
        <v>41</v>
      </c>
      <c r="C276" s="133">
        <v>988100559</v>
      </c>
      <c r="D276" s="17" t="s">
        <v>513</v>
      </c>
      <c r="E276" s="101"/>
    </row>
    <row r="277" spans="1:5" s="18" customFormat="1">
      <c r="A277" s="11" t="s">
        <v>309</v>
      </c>
      <c r="B277" s="11" t="s">
        <v>41</v>
      </c>
      <c r="C277" s="133">
        <v>988100560</v>
      </c>
      <c r="D277" s="17" t="s">
        <v>514</v>
      </c>
      <c r="E277" s="101"/>
    </row>
    <row r="278" spans="1:5" s="18" customFormat="1">
      <c r="A278" s="11" t="s">
        <v>6</v>
      </c>
      <c r="B278" s="11" t="s">
        <v>7</v>
      </c>
      <c r="C278" s="133">
        <v>988100676</v>
      </c>
      <c r="D278" s="17" t="s">
        <v>216</v>
      </c>
      <c r="E278" s="8">
        <v>47</v>
      </c>
    </row>
    <row r="279" spans="1:5" s="18" customFormat="1">
      <c r="A279" s="11" t="s">
        <v>6</v>
      </c>
      <c r="B279" s="11" t="s">
        <v>7</v>
      </c>
      <c r="C279" s="133">
        <v>988100675</v>
      </c>
      <c r="D279" s="17" t="s">
        <v>215</v>
      </c>
      <c r="E279" s="8">
        <v>37</v>
      </c>
    </row>
    <row r="280" spans="1:5" s="18" customFormat="1">
      <c r="A280" s="11" t="s">
        <v>309</v>
      </c>
      <c r="B280" s="11" t="s">
        <v>41</v>
      </c>
      <c r="C280" s="133">
        <v>988100563</v>
      </c>
      <c r="D280" s="17" t="s">
        <v>515</v>
      </c>
      <c r="E280" s="101"/>
    </row>
    <row r="281" spans="1:5" s="18" customFormat="1">
      <c r="A281" s="11" t="s">
        <v>25</v>
      </c>
      <c r="B281" s="11" t="s">
        <v>7</v>
      </c>
      <c r="C281" s="136">
        <v>200119</v>
      </c>
      <c r="D281" s="40" t="s">
        <v>516</v>
      </c>
      <c r="E281" s="101"/>
    </row>
    <row r="282" spans="1:5" s="18" customFormat="1">
      <c r="A282" s="11" t="s">
        <v>6</v>
      </c>
      <c r="B282" s="11" t="s">
        <v>7</v>
      </c>
      <c r="C282" s="133">
        <v>988100674</v>
      </c>
      <c r="D282" s="17" t="s">
        <v>214</v>
      </c>
      <c r="E282" s="8">
        <v>20</v>
      </c>
    </row>
    <row r="283" spans="1:5" s="18" customFormat="1">
      <c r="A283" s="11" t="s">
        <v>25</v>
      </c>
      <c r="B283" s="11" t="s">
        <v>7</v>
      </c>
      <c r="C283" s="133">
        <v>988100564</v>
      </c>
      <c r="D283" s="15" t="s">
        <v>517</v>
      </c>
      <c r="E283" s="101"/>
    </row>
    <row r="284" spans="1:5" s="18" customFormat="1">
      <c r="A284" s="11" t="s">
        <v>25</v>
      </c>
      <c r="B284" s="11" t="s">
        <v>7</v>
      </c>
      <c r="C284" s="133">
        <v>988100565</v>
      </c>
      <c r="D284" s="15" t="s">
        <v>518</v>
      </c>
      <c r="E284" s="101"/>
    </row>
    <row r="285" spans="1:5" s="18" customFormat="1">
      <c r="A285" s="11" t="s">
        <v>6</v>
      </c>
      <c r="B285" s="11" t="s">
        <v>7</v>
      </c>
      <c r="C285" s="133">
        <v>988100673</v>
      </c>
      <c r="D285" s="17" t="s">
        <v>213</v>
      </c>
      <c r="E285" s="8">
        <v>6</v>
      </c>
    </row>
    <row r="286" spans="1:5" s="18" customFormat="1">
      <c r="A286" s="5" t="s">
        <v>6</v>
      </c>
      <c r="B286" s="5" t="s">
        <v>7</v>
      </c>
      <c r="C286" s="134">
        <v>100043</v>
      </c>
      <c r="D286" s="100" t="s">
        <v>162</v>
      </c>
      <c r="E286" s="8">
        <v>75</v>
      </c>
    </row>
    <row r="287" spans="1:5" s="18" customFormat="1">
      <c r="A287" s="5" t="s">
        <v>6</v>
      </c>
      <c r="B287" s="5" t="s">
        <v>7</v>
      </c>
      <c r="C287" s="134">
        <v>988100449</v>
      </c>
      <c r="D287" s="100" t="s">
        <v>171</v>
      </c>
      <c r="E287" s="101">
        <v>72</v>
      </c>
    </row>
    <row r="288" spans="1:5" s="18" customFormat="1">
      <c r="A288" s="11" t="s">
        <v>25</v>
      </c>
      <c r="B288" s="11" t="s">
        <v>7</v>
      </c>
      <c r="C288" s="133">
        <v>988100573</v>
      </c>
      <c r="D288" s="15" t="s">
        <v>519</v>
      </c>
      <c r="E288" s="101"/>
    </row>
    <row r="289" spans="1:5" s="18" customFormat="1">
      <c r="A289" s="11" t="s">
        <v>25</v>
      </c>
      <c r="B289" s="11" t="s">
        <v>7</v>
      </c>
      <c r="C289" s="136">
        <v>200118</v>
      </c>
      <c r="D289" s="40" t="s">
        <v>520</v>
      </c>
      <c r="E289" s="101"/>
    </row>
    <row r="290" spans="1:5" s="18" customFormat="1">
      <c r="A290" s="5" t="s">
        <v>6</v>
      </c>
      <c r="B290" s="5" t="s">
        <v>7</v>
      </c>
      <c r="C290" s="134">
        <v>100223</v>
      </c>
      <c r="D290" s="100" t="s">
        <v>255</v>
      </c>
      <c r="E290" s="8">
        <v>65</v>
      </c>
    </row>
    <row r="291" spans="1:5" s="18" customFormat="1">
      <c r="A291" s="5" t="s">
        <v>6</v>
      </c>
      <c r="B291" s="5" t="s">
        <v>7</v>
      </c>
      <c r="C291" s="134">
        <v>100216</v>
      </c>
      <c r="D291" s="100" t="s">
        <v>254</v>
      </c>
      <c r="E291" s="8">
        <v>53</v>
      </c>
    </row>
    <row r="292" spans="1:5" s="18" customFormat="1">
      <c r="A292" s="5" t="s">
        <v>6</v>
      </c>
      <c r="B292" s="5" t="s">
        <v>7</v>
      </c>
      <c r="C292" s="134">
        <v>100215</v>
      </c>
      <c r="D292" s="100" t="s">
        <v>253</v>
      </c>
      <c r="E292" s="8">
        <v>27</v>
      </c>
    </row>
    <row r="293" spans="1:5" s="18" customFormat="1">
      <c r="A293" s="11" t="s">
        <v>25</v>
      </c>
      <c r="B293" s="11" t="s">
        <v>41</v>
      </c>
      <c r="C293" s="133">
        <v>988100601</v>
      </c>
      <c r="D293" s="15" t="s">
        <v>71</v>
      </c>
      <c r="E293" s="101">
        <v>25</v>
      </c>
    </row>
    <row r="294" spans="1:5" s="18" customFormat="1">
      <c r="A294" s="11" t="s">
        <v>25</v>
      </c>
      <c r="B294" s="11" t="s">
        <v>41</v>
      </c>
      <c r="C294" s="133">
        <v>988100602</v>
      </c>
      <c r="D294" s="15" t="s">
        <v>521</v>
      </c>
      <c r="E294" s="101">
        <v>4</v>
      </c>
    </row>
    <row r="295" spans="1:5" s="18" customFormat="1">
      <c r="A295" s="11" t="s">
        <v>309</v>
      </c>
      <c r="B295" s="11" t="s">
        <v>41</v>
      </c>
      <c r="C295" s="133">
        <v>988100555</v>
      </c>
      <c r="D295" s="17" t="s">
        <v>522</v>
      </c>
      <c r="E295" s="101">
        <v>1</v>
      </c>
    </row>
    <row r="296" spans="1:5" s="18" customFormat="1">
      <c r="A296" s="11" t="s">
        <v>309</v>
      </c>
      <c r="B296" s="11" t="s">
        <v>41</v>
      </c>
      <c r="C296" s="133">
        <v>988100558</v>
      </c>
      <c r="D296" s="17" t="s">
        <v>523</v>
      </c>
      <c r="E296" s="101">
        <v>1</v>
      </c>
    </row>
    <row r="297" spans="1:5" s="18" customFormat="1">
      <c r="A297" s="11" t="s">
        <v>309</v>
      </c>
      <c r="B297" s="11" t="s">
        <v>41</v>
      </c>
      <c r="C297" s="133">
        <v>988100561</v>
      </c>
      <c r="D297" s="17" t="s">
        <v>524</v>
      </c>
      <c r="E297" s="101">
        <v>2</v>
      </c>
    </row>
    <row r="298" spans="1:5" s="18" customFormat="1">
      <c r="A298" s="11" t="s">
        <v>309</v>
      </c>
      <c r="B298" s="11" t="s">
        <v>41</v>
      </c>
      <c r="C298" s="133">
        <v>988100562</v>
      </c>
      <c r="D298" s="17" t="s">
        <v>525</v>
      </c>
      <c r="E298" s="101">
        <v>1</v>
      </c>
    </row>
    <row r="299" spans="1:5" s="18" customFormat="1">
      <c r="A299" s="11" t="s">
        <v>124</v>
      </c>
      <c r="B299" s="11" t="s">
        <v>41</v>
      </c>
      <c r="C299" s="133">
        <v>988100586</v>
      </c>
      <c r="D299" s="17" t="s">
        <v>526</v>
      </c>
      <c r="E299" s="101"/>
    </row>
    <row r="300" spans="1:5" s="18" customFormat="1">
      <c r="A300" s="11" t="s">
        <v>124</v>
      </c>
      <c r="B300" s="11" t="s">
        <v>41</v>
      </c>
      <c r="C300" s="133">
        <v>988100587</v>
      </c>
      <c r="D300" s="17" t="s">
        <v>137</v>
      </c>
      <c r="E300" s="101"/>
    </row>
    <row r="301" spans="1:5" s="18" customFormat="1">
      <c r="A301" s="11" t="s">
        <v>124</v>
      </c>
      <c r="B301" s="11" t="s">
        <v>41</v>
      </c>
      <c r="C301" s="133">
        <v>988100588</v>
      </c>
      <c r="D301" s="17" t="s">
        <v>138</v>
      </c>
      <c r="E301" s="101"/>
    </row>
    <row r="302" spans="1:5" s="18" customFormat="1">
      <c r="A302" s="11" t="s">
        <v>124</v>
      </c>
      <c r="B302" s="11" t="s">
        <v>41</v>
      </c>
      <c r="C302" s="133">
        <v>988100589</v>
      </c>
      <c r="D302" s="17" t="s">
        <v>139</v>
      </c>
      <c r="E302" s="101"/>
    </row>
    <row r="303" spans="1:5" s="18" customFormat="1">
      <c r="A303" s="11" t="s">
        <v>124</v>
      </c>
      <c r="B303" s="11" t="s">
        <v>41</v>
      </c>
      <c r="C303" s="133">
        <v>988100590</v>
      </c>
      <c r="D303" s="17" t="s">
        <v>140</v>
      </c>
      <c r="E303" s="101"/>
    </row>
    <row r="304" spans="1:5" s="18" customFormat="1">
      <c r="A304" s="11" t="s">
        <v>124</v>
      </c>
      <c r="B304" s="11" t="s">
        <v>41</v>
      </c>
      <c r="C304" s="133">
        <v>988100591</v>
      </c>
      <c r="D304" s="17" t="s">
        <v>141</v>
      </c>
      <c r="E304" s="101"/>
    </row>
    <row r="305" spans="1:5" s="18" customFormat="1">
      <c r="A305" s="11" t="s">
        <v>309</v>
      </c>
      <c r="B305" s="5" t="s">
        <v>41</v>
      </c>
      <c r="C305" s="133">
        <v>988100370</v>
      </c>
      <c r="D305" s="7" t="s">
        <v>527</v>
      </c>
      <c r="E305" s="8"/>
    </row>
    <row r="306" spans="1:5" s="18" customFormat="1">
      <c r="A306" s="11" t="s">
        <v>124</v>
      </c>
      <c r="B306" s="11" t="s">
        <v>41</v>
      </c>
      <c r="C306" s="133">
        <v>988100593</v>
      </c>
      <c r="D306" s="17" t="s">
        <v>143</v>
      </c>
      <c r="E306" s="101"/>
    </row>
    <row r="307" spans="1:5" s="18" customFormat="1">
      <c r="A307" s="11" t="s">
        <v>124</v>
      </c>
      <c r="B307" s="11" t="s">
        <v>41</v>
      </c>
      <c r="C307" s="133">
        <v>988100594</v>
      </c>
      <c r="D307" s="17" t="s">
        <v>144</v>
      </c>
      <c r="E307" s="101"/>
    </row>
    <row r="308" spans="1:5" s="18" customFormat="1">
      <c r="A308" s="11" t="s">
        <v>124</v>
      </c>
      <c r="B308" s="11" t="s">
        <v>41</v>
      </c>
      <c r="C308" s="133">
        <v>988100595</v>
      </c>
      <c r="D308" s="17" t="s">
        <v>145</v>
      </c>
      <c r="E308" s="101"/>
    </row>
    <row r="309" spans="1:5" s="18" customFormat="1">
      <c r="A309" s="11" t="s">
        <v>124</v>
      </c>
      <c r="B309" s="11" t="s">
        <v>41</v>
      </c>
      <c r="C309" s="133">
        <v>988100596</v>
      </c>
      <c r="D309" s="17" t="s">
        <v>146</v>
      </c>
      <c r="E309" s="101"/>
    </row>
    <row r="310" spans="1:5" s="18" customFormat="1">
      <c r="A310" s="11" t="s">
        <v>25</v>
      </c>
      <c r="B310" s="11" t="s">
        <v>7</v>
      </c>
      <c r="C310" s="136">
        <v>500009</v>
      </c>
      <c r="D310" s="40" t="s">
        <v>157</v>
      </c>
      <c r="E310" s="101">
        <v>61</v>
      </c>
    </row>
    <row r="311" spans="1:5" s="18" customFormat="1">
      <c r="A311" s="11" t="s">
        <v>25</v>
      </c>
      <c r="B311" s="11" t="s">
        <v>7</v>
      </c>
      <c r="C311" s="133">
        <v>988100567</v>
      </c>
      <c r="D311" s="40" t="s">
        <v>528</v>
      </c>
      <c r="E311" s="101"/>
    </row>
    <row r="312" spans="1:5" s="18" customFormat="1">
      <c r="A312" s="5" t="s">
        <v>6</v>
      </c>
      <c r="B312" s="5" t="s">
        <v>7</v>
      </c>
      <c r="C312" s="133">
        <v>988100021</v>
      </c>
      <c r="D312" s="7" t="s">
        <v>11</v>
      </c>
      <c r="E312" s="8">
        <v>55</v>
      </c>
    </row>
    <row r="313" spans="1:5" s="18" customFormat="1">
      <c r="A313" s="5" t="s">
        <v>6</v>
      </c>
      <c r="B313" s="5" t="s">
        <v>7</v>
      </c>
      <c r="C313" s="133">
        <v>100032</v>
      </c>
      <c r="D313" s="7" t="s">
        <v>9</v>
      </c>
      <c r="E313" s="8">
        <v>72</v>
      </c>
    </row>
    <row r="314" spans="1:5" s="18" customFormat="1">
      <c r="A314" s="11" t="s">
        <v>25</v>
      </c>
      <c r="B314" s="11" t="s">
        <v>7</v>
      </c>
      <c r="C314" s="133">
        <v>988100603</v>
      </c>
      <c r="D314" s="15" t="s">
        <v>529</v>
      </c>
      <c r="E314" s="101"/>
    </row>
    <row r="315" spans="1:5" s="18" customFormat="1">
      <c r="A315" s="11" t="s">
        <v>25</v>
      </c>
      <c r="B315" s="11" t="s">
        <v>41</v>
      </c>
      <c r="C315" s="133">
        <v>988100605</v>
      </c>
      <c r="D315" s="17" t="s">
        <v>75</v>
      </c>
      <c r="E315" s="101"/>
    </row>
    <row r="316" spans="1:5" s="18" customFormat="1">
      <c r="A316" s="11" t="s">
        <v>25</v>
      </c>
      <c r="B316" s="11" t="s">
        <v>41</v>
      </c>
      <c r="C316" s="133">
        <v>988100606</v>
      </c>
      <c r="D316" s="17" t="s">
        <v>77</v>
      </c>
      <c r="E316" s="101"/>
    </row>
    <row r="317" spans="1:5" s="18" customFormat="1">
      <c r="A317" s="11" t="s">
        <v>25</v>
      </c>
      <c r="B317" s="11" t="s">
        <v>7</v>
      </c>
      <c r="C317" s="133">
        <v>988100608</v>
      </c>
      <c r="D317" s="17" t="s">
        <v>530</v>
      </c>
      <c r="E317" s="101"/>
    </row>
    <row r="318" spans="1:5" s="18" customFormat="1">
      <c r="A318" s="11" t="s">
        <v>25</v>
      </c>
      <c r="B318" s="11" t="s">
        <v>7</v>
      </c>
      <c r="C318" s="133">
        <v>988100609</v>
      </c>
      <c r="D318" s="17" t="s">
        <v>531</v>
      </c>
      <c r="E318" s="101"/>
    </row>
    <row r="319" spans="1:5" s="18" customFormat="1">
      <c r="A319" s="11" t="s">
        <v>25</v>
      </c>
      <c r="B319" s="11" t="s">
        <v>7</v>
      </c>
      <c r="C319" s="133">
        <v>988100610</v>
      </c>
      <c r="D319" s="17" t="s">
        <v>33</v>
      </c>
      <c r="E319" s="101"/>
    </row>
    <row r="320" spans="1:5" s="18" customFormat="1">
      <c r="A320" s="11" t="s">
        <v>25</v>
      </c>
      <c r="B320" s="11" t="s">
        <v>7</v>
      </c>
      <c r="C320" s="133">
        <v>988100611</v>
      </c>
      <c r="D320" s="17" t="s">
        <v>123</v>
      </c>
      <c r="E320" s="101"/>
    </row>
    <row r="321" spans="1:5" s="18" customFormat="1">
      <c r="A321" s="11" t="s">
        <v>25</v>
      </c>
      <c r="B321" s="11" t="s">
        <v>7</v>
      </c>
      <c r="C321" s="133">
        <v>988100574</v>
      </c>
      <c r="D321" s="15" t="s">
        <v>532</v>
      </c>
      <c r="E321" s="101"/>
    </row>
    <row r="322" spans="1:5" s="18" customFormat="1">
      <c r="A322" s="11" t="s">
        <v>25</v>
      </c>
      <c r="B322" s="11" t="s">
        <v>7</v>
      </c>
      <c r="C322" s="133">
        <v>988100612</v>
      </c>
      <c r="D322" s="17" t="s">
        <v>533</v>
      </c>
      <c r="E322" s="101"/>
    </row>
    <row r="323" spans="1:5" s="18" customFormat="1">
      <c r="A323" s="11" t="s">
        <v>25</v>
      </c>
      <c r="B323" s="11" t="s">
        <v>7</v>
      </c>
      <c r="C323" s="141">
        <v>988100614</v>
      </c>
      <c r="D323" s="30" t="s">
        <v>534</v>
      </c>
      <c r="E323" s="101"/>
    </row>
    <row r="324" spans="1:5" s="18" customFormat="1">
      <c r="A324" s="11" t="s">
        <v>25</v>
      </c>
      <c r="B324" s="11" t="s">
        <v>7</v>
      </c>
      <c r="C324" s="133">
        <v>988100621</v>
      </c>
      <c r="D324" s="40" t="s">
        <v>535</v>
      </c>
      <c r="E324" s="101"/>
    </row>
    <row r="325" spans="1:5" s="18" customFormat="1">
      <c r="A325" s="11" t="s">
        <v>25</v>
      </c>
      <c r="B325" s="11" t="s">
        <v>7</v>
      </c>
      <c r="C325" s="133">
        <v>988100622</v>
      </c>
      <c r="D325" s="40" t="s">
        <v>536</v>
      </c>
      <c r="E325" s="101"/>
    </row>
    <row r="326" spans="1:5" s="18" customFormat="1">
      <c r="A326" s="11" t="s">
        <v>89</v>
      </c>
      <c r="B326" s="11" t="s">
        <v>7</v>
      </c>
      <c r="C326" s="134">
        <v>988100475</v>
      </c>
      <c r="D326" s="40" t="s">
        <v>102</v>
      </c>
      <c r="E326" s="101"/>
    </row>
    <row r="327" spans="1:5" s="18" customFormat="1">
      <c r="A327" s="11" t="s">
        <v>89</v>
      </c>
      <c r="B327" s="11" t="s">
        <v>7</v>
      </c>
      <c r="C327" s="134">
        <v>988100476</v>
      </c>
      <c r="D327" s="7" t="s">
        <v>103</v>
      </c>
      <c r="E327" s="101"/>
    </row>
    <row r="328" spans="1:5" s="18" customFormat="1">
      <c r="A328" s="11" t="s">
        <v>89</v>
      </c>
      <c r="B328" s="11" t="s">
        <v>7</v>
      </c>
      <c r="C328" s="134">
        <v>988100477</v>
      </c>
      <c r="D328" s="7" t="s">
        <v>104</v>
      </c>
      <c r="E328" s="101"/>
    </row>
    <row r="329" spans="1:5" s="18" customFormat="1">
      <c r="A329" s="11" t="s">
        <v>6</v>
      </c>
      <c r="B329" s="5" t="s">
        <v>7</v>
      </c>
      <c r="C329" s="133">
        <v>100033</v>
      </c>
      <c r="D329" s="7" t="s">
        <v>10</v>
      </c>
      <c r="E329" s="101">
        <v>70</v>
      </c>
    </row>
    <row r="330" spans="1:5" s="18" customFormat="1">
      <c r="A330" s="11" t="s">
        <v>89</v>
      </c>
      <c r="B330" s="11" t="s">
        <v>7</v>
      </c>
      <c r="C330" s="146">
        <v>300053</v>
      </c>
      <c r="D330" s="110" t="s">
        <v>537</v>
      </c>
      <c r="E330" s="101"/>
    </row>
    <row r="331" spans="1:5" s="18" customFormat="1">
      <c r="A331" s="5" t="s">
        <v>6</v>
      </c>
      <c r="B331" s="5" t="s">
        <v>7</v>
      </c>
      <c r="C331" s="133">
        <v>988100460</v>
      </c>
      <c r="D331" s="7" t="s">
        <v>14</v>
      </c>
      <c r="E331" s="101">
        <v>46</v>
      </c>
    </row>
    <row r="332" spans="1:5" s="18" customFormat="1">
      <c r="A332" s="11" t="s">
        <v>89</v>
      </c>
      <c r="B332" s="11" t="s">
        <v>7</v>
      </c>
      <c r="C332" s="133">
        <v>988100631</v>
      </c>
      <c r="D332" s="15" t="s">
        <v>538</v>
      </c>
      <c r="E332" s="101"/>
    </row>
    <row r="333" spans="1:5" s="18" customFormat="1">
      <c r="A333" s="11" t="s">
        <v>89</v>
      </c>
      <c r="B333" s="11" t="s">
        <v>7</v>
      </c>
      <c r="C333" s="133">
        <v>988100544</v>
      </c>
      <c r="D333" s="17" t="s">
        <v>111</v>
      </c>
      <c r="E333" s="101"/>
    </row>
    <row r="334" spans="1:5" s="18" customFormat="1">
      <c r="A334" s="5" t="s">
        <v>6</v>
      </c>
      <c r="B334" s="5" t="s">
        <v>7</v>
      </c>
      <c r="C334" s="133">
        <v>988100024</v>
      </c>
      <c r="D334" s="7" t="s">
        <v>12</v>
      </c>
      <c r="E334" s="8">
        <v>36</v>
      </c>
    </row>
    <row r="335" spans="1:5" s="18" customFormat="1">
      <c r="A335" s="11" t="s">
        <v>89</v>
      </c>
      <c r="B335" s="11" t="s">
        <v>7</v>
      </c>
      <c r="C335" s="145">
        <v>988100132</v>
      </c>
      <c r="D335" s="115" t="s">
        <v>96</v>
      </c>
      <c r="E335" s="101"/>
    </row>
    <row r="336" spans="1:5" s="18" customFormat="1">
      <c r="A336" s="11" t="s">
        <v>89</v>
      </c>
      <c r="B336" s="11" t="s">
        <v>7</v>
      </c>
      <c r="C336" s="133">
        <v>988100100</v>
      </c>
      <c r="D336" s="7" t="s">
        <v>97</v>
      </c>
      <c r="E336" s="101">
        <v>37</v>
      </c>
    </row>
    <row r="337" spans="1:5" s="18" customFormat="1">
      <c r="A337" s="11" t="s">
        <v>89</v>
      </c>
      <c r="B337" s="11" t="s">
        <v>7</v>
      </c>
      <c r="C337" s="145">
        <v>988100137</v>
      </c>
      <c r="D337" s="15" t="s">
        <v>98</v>
      </c>
      <c r="E337" s="101">
        <v>47</v>
      </c>
    </row>
    <row r="338" spans="1:5" s="18" customFormat="1">
      <c r="A338" s="11" t="s">
        <v>89</v>
      </c>
      <c r="B338" s="11" t="s">
        <v>7</v>
      </c>
      <c r="C338" s="133">
        <v>988100468</v>
      </c>
      <c r="D338" s="19" t="s">
        <v>99</v>
      </c>
      <c r="E338" s="101">
        <v>28</v>
      </c>
    </row>
    <row r="339" spans="1:5" s="18" customFormat="1">
      <c r="A339" s="11" t="s">
        <v>89</v>
      </c>
      <c r="B339" s="11" t="s">
        <v>7</v>
      </c>
      <c r="C339" s="133">
        <v>988100542</v>
      </c>
      <c r="D339" s="15" t="s">
        <v>539</v>
      </c>
      <c r="E339" s="101"/>
    </row>
    <row r="340" spans="1:5" s="18" customFormat="1">
      <c r="A340" s="11" t="s">
        <v>89</v>
      </c>
      <c r="B340" s="11" t="s">
        <v>7</v>
      </c>
      <c r="C340" s="133">
        <v>988100543</v>
      </c>
      <c r="D340" s="15" t="s">
        <v>110</v>
      </c>
      <c r="E340" s="101">
        <v>38</v>
      </c>
    </row>
    <row r="341" spans="1:5" s="18" customFormat="1">
      <c r="A341" s="11" t="s">
        <v>89</v>
      </c>
      <c r="B341" s="11" t="s">
        <v>7</v>
      </c>
      <c r="C341" s="133">
        <v>988100624</v>
      </c>
      <c r="D341" s="40" t="s">
        <v>540</v>
      </c>
      <c r="E341" s="101"/>
    </row>
    <row r="342" spans="1:5" s="18" customFormat="1">
      <c r="A342" s="11" t="s">
        <v>89</v>
      </c>
      <c r="B342" s="11" t="s">
        <v>7</v>
      </c>
      <c r="C342" s="133">
        <v>988100625</v>
      </c>
      <c r="D342" s="40" t="s">
        <v>541</v>
      </c>
      <c r="E342" s="101"/>
    </row>
    <row r="343" spans="1:5" s="18" customFormat="1">
      <c r="A343" s="11" t="s">
        <v>89</v>
      </c>
      <c r="B343" s="11" t="s">
        <v>7</v>
      </c>
      <c r="C343" s="133">
        <v>988100626</v>
      </c>
      <c r="D343" s="40" t="s">
        <v>542</v>
      </c>
      <c r="E343" s="101"/>
    </row>
    <row r="344" spans="1:5" s="18" customFormat="1">
      <c r="A344" s="11" t="s">
        <v>89</v>
      </c>
      <c r="B344" s="11" t="s">
        <v>7</v>
      </c>
      <c r="C344" s="133">
        <v>988100537</v>
      </c>
      <c r="D344" s="17" t="s">
        <v>109</v>
      </c>
      <c r="E344" s="101"/>
    </row>
    <row r="345" spans="1:5" s="18" customFormat="1">
      <c r="A345" s="11" t="s">
        <v>89</v>
      </c>
      <c r="B345" s="11" t="s">
        <v>7</v>
      </c>
      <c r="C345" s="133">
        <v>988100627</v>
      </c>
      <c r="D345" s="40" t="s">
        <v>113</v>
      </c>
      <c r="E345" s="101"/>
    </row>
    <row r="346" spans="1:5" s="18" customFormat="1">
      <c r="A346" s="11" t="s">
        <v>6</v>
      </c>
      <c r="B346" s="11" t="s">
        <v>7</v>
      </c>
      <c r="C346" s="133">
        <v>988100629</v>
      </c>
      <c r="D346" s="7" t="s">
        <v>20</v>
      </c>
      <c r="E346" s="101">
        <v>55</v>
      </c>
    </row>
    <row r="347" spans="1:5" s="18" customFormat="1">
      <c r="A347" s="11" t="s">
        <v>6</v>
      </c>
      <c r="B347" s="11" t="s">
        <v>7</v>
      </c>
      <c r="C347" s="133">
        <v>988100630</v>
      </c>
      <c r="D347" s="7" t="s">
        <v>211</v>
      </c>
      <c r="E347" s="101">
        <v>43</v>
      </c>
    </row>
    <row r="348" spans="1:5" s="18" customFormat="1">
      <c r="A348" s="11" t="s">
        <v>25</v>
      </c>
      <c r="B348" s="11" t="s">
        <v>7</v>
      </c>
      <c r="C348" s="136">
        <v>200003</v>
      </c>
      <c r="D348" s="40" t="s">
        <v>543</v>
      </c>
      <c r="E348" s="101"/>
    </row>
    <row r="349" spans="1:5" s="18" customFormat="1">
      <c r="A349" s="11" t="s">
        <v>25</v>
      </c>
      <c r="B349" s="11" t="s">
        <v>7</v>
      </c>
      <c r="C349" s="133">
        <v>988100599</v>
      </c>
      <c r="D349" s="7" t="s">
        <v>544</v>
      </c>
      <c r="E349" s="101"/>
    </row>
    <row r="350" spans="1:5" s="18" customFormat="1">
      <c r="A350" s="5" t="s">
        <v>6</v>
      </c>
      <c r="B350" s="5" t="s">
        <v>7</v>
      </c>
      <c r="C350" s="133">
        <v>988100025</v>
      </c>
      <c r="D350" s="7" t="s">
        <v>13</v>
      </c>
      <c r="E350" s="8">
        <v>38</v>
      </c>
    </row>
    <row r="351" spans="1:5" s="18" customFormat="1">
      <c r="A351" s="11" t="s">
        <v>25</v>
      </c>
      <c r="B351" s="5" t="s">
        <v>7</v>
      </c>
      <c r="C351" s="133">
        <v>100031</v>
      </c>
      <c r="D351" s="7" t="s">
        <v>545</v>
      </c>
      <c r="E351" s="101">
        <v>118</v>
      </c>
    </row>
    <row r="352" spans="1:5" s="18" customFormat="1">
      <c r="A352" s="5" t="s">
        <v>6</v>
      </c>
      <c r="B352" s="5" t="s">
        <v>7</v>
      </c>
      <c r="C352" s="133">
        <v>100016</v>
      </c>
      <c r="D352" s="7" t="s">
        <v>8</v>
      </c>
      <c r="E352" s="8">
        <v>211</v>
      </c>
    </row>
    <row r="353" spans="1:5" s="18" customFormat="1">
      <c r="A353" s="11" t="s">
        <v>6</v>
      </c>
      <c r="B353" s="11" t="s">
        <v>7</v>
      </c>
      <c r="C353" s="134">
        <v>100041</v>
      </c>
      <c r="D353" s="100" t="s">
        <v>163</v>
      </c>
      <c r="E353" s="8">
        <v>281</v>
      </c>
    </row>
    <row r="354" spans="1:5" s="18" customFormat="1">
      <c r="A354" s="11" t="s">
        <v>6</v>
      </c>
      <c r="B354" s="5" t="s">
        <v>7</v>
      </c>
      <c r="C354" s="133">
        <v>100011</v>
      </c>
      <c r="D354" s="7" t="s">
        <v>546</v>
      </c>
      <c r="E354" s="101">
        <v>43</v>
      </c>
    </row>
    <row r="355" spans="1:5" s="18" customFormat="1">
      <c r="A355" s="11" t="s">
        <v>89</v>
      </c>
      <c r="B355" s="11" t="s">
        <v>7</v>
      </c>
      <c r="C355" s="133">
        <v>988100600</v>
      </c>
      <c r="D355" s="15" t="s">
        <v>112</v>
      </c>
      <c r="E355" s="101">
        <v>70</v>
      </c>
    </row>
    <row r="356" spans="1:5" s="18" customFormat="1">
      <c r="A356" s="11" t="s">
        <v>6</v>
      </c>
      <c r="B356" s="11" t="s">
        <v>7</v>
      </c>
      <c r="C356" s="147">
        <v>100035</v>
      </c>
      <c r="D356" s="117" t="s">
        <v>166</v>
      </c>
      <c r="E356" s="101">
        <v>67</v>
      </c>
    </row>
    <row r="357" spans="1:5" s="18" customFormat="1">
      <c r="A357" s="11" t="s">
        <v>25</v>
      </c>
      <c r="B357" s="11" t="s">
        <v>7</v>
      </c>
      <c r="C357" s="133">
        <v>988100637</v>
      </c>
      <c r="D357" s="15" t="s">
        <v>547</v>
      </c>
      <c r="E357" s="101"/>
    </row>
    <row r="358" spans="1:5" s="18" customFormat="1">
      <c r="A358" s="11" t="s">
        <v>25</v>
      </c>
      <c r="B358" s="11" t="s">
        <v>7</v>
      </c>
      <c r="C358" s="133">
        <v>988100638</v>
      </c>
      <c r="D358" s="15" t="s">
        <v>548</v>
      </c>
      <c r="E358" s="101"/>
    </row>
    <row r="359" spans="1:5" s="18" customFormat="1">
      <c r="A359" s="11" t="s">
        <v>25</v>
      </c>
      <c r="B359" s="11" t="s">
        <v>7</v>
      </c>
      <c r="C359" s="133">
        <v>988100633</v>
      </c>
      <c r="D359" s="17" t="s">
        <v>549</v>
      </c>
      <c r="E359" s="101"/>
    </row>
    <row r="360" spans="1:5" s="18" customFormat="1">
      <c r="A360" s="11" t="s">
        <v>25</v>
      </c>
      <c r="B360" s="11" t="s">
        <v>7</v>
      </c>
      <c r="C360" s="133">
        <v>988100639</v>
      </c>
      <c r="D360" s="15" t="s">
        <v>550</v>
      </c>
      <c r="E360" s="101"/>
    </row>
    <row r="361" spans="1:5" s="18" customFormat="1">
      <c r="A361" s="11" t="s">
        <v>89</v>
      </c>
      <c r="B361" s="11" t="s">
        <v>7</v>
      </c>
      <c r="C361" s="133">
        <v>988100642</v>
      </c>
      <c r="D361" s="15" t="s">
        <v>551</v>
      </c>
      <c r="E361" s="101"/>
    </row>
    <row r="362" spans="1:5" s="18" customFormat="1">
      <c r="A362" s="11" t="s">
        <v>25</v>
      </c>
      <c r="B362" s="11" t="s">
        <v>7</v>
      </c>
      <c r="C362" s="141">
        <v>988100568</v>
      </c>
      <c r="D362" s="118" t="s">
        <v>552</v>
      </c>
      <c r="E362" s="101"/>
    </row>
    <row r="363" spans="1:5" s="18" customFormat="1">
      <c r="A363" s="11" t="s">
        <v>25</v>
      </c>
      <c r="B363" s="11" t="s">
        <v>7</v>
      </c>
      <c r="C363" s="133">
        <v>988100649</v>
      </c>
      <c r="D363" s="40" t="s">
        <v>553</v>
      </c>
      <c r="E363" s="101"/>
    </row>
    <row r="364" spans="1:5" s="18" customFormat="1">
      <c r="A364" s="5" t="s">
        <v>6</v>
      </c>
      <c r="B364" s="5" t="s">
        <v>7</v>
      </c>
      <c r="C364" s="133">
        <v>100030</v>
      </c>
      <c r="D364" s="7" t="s">
        <v>168</v>
      </c>
      <c r="E364" s="8">
        <v>76</v>
      </c>
    </row>
    <row r="365" spans="1:5" s="18" customFormat="1">
      <c r="A365" s="11" t="s">
        <v>40</v>
      </c>
      <c r="B365" s="11" t="s">
        <v>41</v>
      </c>
      <c r="C365" s="133">
        <v>988100662</v>
      </c>
      <c r="D365" s="40" t="s">
        <v>59</v>
      </c>
      <c r="E365" s="101"/>
    </row>
    <row r="366" spans="1:5" s="18" customFormat="1">
      <c r="A366" s="11" t="s">
        <v>25</v>
      </c>
      <c r="B366" s="11" t="s">
        <v>7</v>
      </c>
      <c r="C366" s="148">
        <v>200345</v>
      </c>
      <c r="D366" s="120" t="s">
        <v>554</v>
      </c>
      <c r="E366" s="101"/>
    </row>
    <row r="367" spans="1:5" s="18" customFormat="1">
      <c r="A367" s="11" t="s">
        <v>25</v>
      </c>
      <c r="B367" s="11" t="s">
        <v>7</v>
      </c>
      <c r="C367" s="133">
        <v>988100617</v>
      </c>
      <c r="D367" s="100" t="s">
        <v>555</v>
      </c>
      <c r="E367" s="101"/>
    </row>
    <row r="368" spans="1:5" s="18" customFormat="1">
      <c r="A368" s="11" t="s">
        <v>25</v>
      </c>
      <c r="B368" s="11" t="s">
        <v>7</v>
      </c>
      <c r="C368" s="133">
        <v>200289</v>
      </c>
      <c r="D368" s="19" t="s">
        <v>556</v>
      </c>
      <c r="E368" s="101"/>
    </row>
    <row r="369" spans="1:5" s="18" customFormat="1">
      <c r="A369" s="11" t="s">
        <v>25</v>
      </c>
      <c r="B369" s="11" t="s">
        <v>7</v>
      </c>
      <c r="C369" s="133">
        <v>200290</v>
      </c>
      <c r="D369" s="19" t="s">
        <v>557</v>
      </c>
      <c r="E369" s="101"/>
    </row>
    <row r="370" spans="1:5" s="18" customFormat="1">
      <c r="A370" s="11" t="s">
        <v>25</v>
      </c>
      <c r="B370" s="11" t="s">
        <v>7</v>
      </c>
      <c r="C370" s="133">
        <v>988100663</v>
      </c>
      <c r="D370" s="15" t="s">
        <v>558</v>
      </c>
      <c r="E370" s="101">
        <v>170</v>
      </c>
    </row>
    <row r="371" spans="1:5">
      <c r="A371" s="33" t="s">
        <v>124</v>
      </c>
      <c r="B371" s="33" t="s">
        <v>41</v>
      </c>
      <c r="C371" s="149">
        <v>988100664</v>
      </c>
      <c r="D371" s="122" t="s">
        <v>150</v>
      </c>
      <c r="E371" s="8"/>
    </row>
    <row r="372" spans="1:5">
      <c r="A372" s="33" t="s">
        <v>124</v>
      </c>
      <c r="B372" s="33" t="s">
        <v>41</v>
      </c>
      <c r="C372" s="135">
        <v>988100665</v>
      </c>
      <c r="D372" s="122" t="s">
        <v>151</v>
      </c>
      <c r="E372" s="8"/>
    </row>
    <row r="373" spans="1:5">
      <c r="A373" s="33" t="s">
        <v>124</v>
      </c>
      <c r="B373" s="33" t="s">
        <v>41</v>
      </c>
      <c r="C373" s="135">
        <v>988100666</v>
      </c>
      <c r="D373" s="122" t="s">
        <v>152</v>
      </c>
      <c r="E373" s="8"/>
    </row>
    <row r="374" spans="1:5">
      <c r="A374" s="11" t="s">
        <v>6</v>
      </c>
      <c r="B374" s="11" t="s">
        <v>7</v>
      </c>
      <c r="C374" s="143">
        <v>100034</v>
      </c>
      <c r="D374" s="15" t="s">
        <v>165</v>
      </c>
      <c r="E374" s="101">
        <v>61</v>
      </c>
    </row>
    <row r="375" spans="1:5">
      <c r="A375" s="11" t="s">
        <v>89</v>
      </c>
      <c r="B375" s="11" t="s">
        <v>7</v>
      </c>
      <c r="C375" s="133">
        <v>988100640</v>
      </c>
      <c r="D375" s="15" t="s">
        <v>114</v>
      </c>
      <c r="E375" s="8"/>
    </row>
    <row r="376" spans="1:5">
      <c r="A376" s="11" t="s">
        <v>89</v>
      </c>
      <c r="B376" s="11" t="s">
        <v>7</v>
      </c>
      <c r="C376" s="133">
        <v>988100434</v>
      </c>
      <c r="D376" s="19" t="s">
        <v>93</v>
      </c>
      <c r="E376" s="8">
        <v>49</v>
      </c>
    </row>
    <row r="377" spans="1:5">
      <c r="A377" s="11" t="s">
        <v>124</v>
      </c>
      <c r="B377" s="11" t="s">
        <v>41</v>
      </c>
      <c r="C377" s="133">
        <v>988100582</v>
      </c>
      <c r="D377" s="17" t="s">
        <v>133</v>
      </c>
      <c r="E377" s="101">
        <v>35</v>
      </c>
    </row>
    <row r="378" spans="1:5">
      <c r="A378" s="11" t="s">
        <v>124</v>
      </c>
      <c r="B378" s="11" t="s">
        <v>41</v>
      </c>
      <c r="C378" s="133">
        <v>988100578</v>
      </c>
      <c r="D378" s="17" t="s">
        <v>125</v>
      </c>
      <c r="E378" s="101">
        <v>1</v>
      </c>
    </row>
    <row r="379" spans="1:5">
      <c r="A379" s="11" t="s">
        <v>124</v>
      </c>
      <c r="B379" s="11" t="s">
        <v>41</v>
      </c>
      <c r="C379" s="133">
        <v>988100592</v>
      </c>
      <c r="D379" s="17" t="s">
        <v>142</v>
      </c>
      <c r="E379" s="101"/>
    </row>
    <row r="380" spans="1:5">
      <c r="A380" s="11" t="s">
        <v>124</v>
      </c>
      <c r="B380" s="11" t="s">
        <v>41</v>
      </c>
      <c r="C380" s="133">
        <v>988100583</v>
      </c>
      <c r="D380" s="17" t="s">
        <v>134</v>
      </c>
      <c r="E380" s="101">
        <v>33</v>
      </c>
    </row>
    <row r="381" spans="1:5">
      <c r="A381" s="11" t="s">
        <v>25</v>
      </c>
      <c r="B381" s="11" t="s">
        <v>41</v>
      </c>
      <c r="C381" s="133">
        <v>988100677</v>
      </c>
      <c r="D381" s="12" t="s">
        <v>169</v>
      </c>
      <c r="E381" s="8"/>
    </row>
    <row r="382" spans="1:5">
      <c r="A382" s="11" t="s">
        <v>25</v>
      </c>
      <c r="B382" s="11" t="s">
        <v>41</v>
      </c>
      <c r="C382" s="133">
        <v>988100678</v>
      </c>
      <c r="D382" s="12" t="s">
        <v>170</v>
      </c>
      <c r="E382" s="8"/>
    </row>
    <row r="383" spans="1:5">
      <c r="A383" s="11" t="s">
        <v>25</v>
      </c>
      <c r="B383" s="11" t="s">
        <v>7</v>
      </c>
      <c r="C383" s="133">
        <v>988100620</v>
      </c>
      <c r="D383" s="100" t="s">
        <v>559</v>
      </c>
      <c r="E383" s="8"/>
    </row>
    <row r="384" spans="1:5">
      <c r="A384" s="11" t="s">
        <v>6</v>
      </c>
      <c r="B384" s="11" t="s">
        <v>41</v>
      </c>
      <c r="C384" s="133">
        <v>988100680</v>
      </c>
      <c r="D384" s="102" t="s">
        <v>172</v>
      </c>
      <c r="E384" s="8"/>
    </row>
    <row r="385" spans="1:5">
      <c r="A385" s="11" t="s">
        <v>124</v>
      </c>
      <c r="B385" s="11" t="s">
        <v>41</v>
      </c>
      <c r="C385" s="133">
        <v>988100579</v>
      </c>
      <c r="D385" s="12" t="s">
        <v>127</v>
      </c>
      <c r="E385" s="101">
        <v>25</v>
      </c>
    </row>
    <row r="386" spans="1:5">
      <c r="A386" s="11" t="s">
        <v>6</v>
      </c>
      <c r="B386" s="11" t="s">
        <v>41</v>
      </c>
      <c r="C386" s="133">
        <v>988100686</v>
      </c>
      <c r="D386" s="12" t="s">
        <v>173</v>
      </c>
      <c r="E386" s="8"/>
    </row>
    <row r="387" spans="1:5">
      <c r="A387" s="11" t="s">
        <v>6</v>
      </c>
      <c r="B387" s="11" t="s">
        <v>7</v>
      </c>
      <c r="C387" s="141">
        <v>988100489</v>
      </c>
      <c r="D387" s="65" t="s">
        <v>212</v>
      </c>
      <c r="E387" s="8"/>
    </row>
    <row r="388" spans="1:5">
      <c r="A388" s="11" t="s">
        <v>6</v>
      </c>
      <c r="B388" s="11" t="s">
        <v>7</v>
      </c>
      <c r="C388" s="133">
        <v>988100681</v>
      </c>
      <c r="D388" s="102" t="s">
        <v>217</v>
      </c>
      <c r="E388" s="8">
        <v>56</v>
      </c>
    </row>
    <row r="389" spans="1:5">
      <c r="A389" s="11" t="s">
        <v>25</v>
      </c>
      <c r="B389" s="5" t="s">
        <v>7</v>
      </c>
      <c r="C389" s="133">
        <v>200292</v>
      </c>
      <c r="D389" s="19" t="s">
        <v>183</v>
      </c>
      <c r="E389" s="8"/>
    </row>
    <row r="390" spans="1:5">
      <c r="A390" s="11" t="s">
        <v>25</v>
      </c>
      <c r="B390" s="5" t="s">
        <v>7</v>
      </c>
      <c r="C390" s="133">
        <v>200415</v>
      </c>
      <c r="D390" s="19" t="s">
        <v>184</v>
      </c>
      <c r="E390" s="8"/>
    </row>
    <row r="391" spans="1:5">
      <c r="A391" s="11" t="s">
        <v>25</v>
      </c>
      <c r="B391" s="5" t="s">
        <v>41</v>
      </c>
      <c r="C391" s="150">
        <v>988100694</v>
      </c>
      <c r="D391" s="124" t="s">
        <v>195</v>
      </c>
      <c r="E391" s="8">
        <v>3</v>
      </c>
    </row>
    <row r="392" spans="1:5">
      <c r="A392" s="11" t="s">
        <v>25</v>
      </c>
      <c r="B392" s="5" t="s">
        <v>41</v>
      </c>
      <c r="C392" s="150">
        <v>988100695</v>
      </c>
      <c r="D392" s="124" t="s">
        <v>197</v>
      </c>
      <c r="E392" s="8"/>
    </row>
    <row r="393" spans="1:5">
      <c r="A393" s="11" t="s">
        <v>25</v>
      </c>
      <c r="B393" s="5" t="s">
        <v>41</v>
      </c>
      <c r="C393" s="150">
        <v>988100696</v>
      </c>
      <c r="D393" s="124" t="s">
        <v>199</v>
      </c>
      <c r="E393" s="8">
        <v>1</v>
      </c>
    </row>
    <row r="394" spans="1:5">
      <c r="A394" s="11" t="s">
        <v>25</v>
      </c>
      <c r="B394" s="5" t="s">
        <v>41</v>
      </c>
      <c r="C394" s="150">
        <v>988100697</v>
      </c>
      <c r="D394" s="124" t="s">
        <v>201</v>
      </c>
      <c r="E394" s="8"/>
    </row>
    <row r="395" spans="1:5">
      <c r="A395" s="11" t="s">
        <v>25</v>
      </c>
      <c r="B395" s="5" t="s">
        <v>41</v>
      </c>
      <c r="C395" s="150">
        <v>988100698</v>
      </c>
      <c r="D395" s="124" t="s">
        <v>203</v>
      </c>
      <c r="E395" s="8"/>
    </row>
    <row r="396" spans="1:5">
      <c r="A396" s="11" t="s">
        <v>25</v>
      </c>
      <c r="B396" s="5" t="s">
        <v>41</v>
      </c>
      <c r="C396" s="150">
        <v>988100699</v>
      </c>
      <c r="D396" s="124" t="s">
        <v>205</v>
      </c>
      <c r="E396" s="8">
        <v>3</v>
      </c>
    </row>
    <row r="397" spans="1:5">
      <c r="A397" s="11" t="s">
        <v>25</v>
      </c>
      <c r="B397" s="5" t="s">
        <v>41</v>
      </c>
      <c r="C397" s="151">
        <v>988100700</v>
      </c>
      <c r="D397" s="126" t="s">
        <v>207</v>
      </c>
      <c r="E397" s="8">
        <v>4</v>
      </c>
    </row>
    <row r="398" spans="1:5">
      <c r="A398" s="11" t="s">
        <v>25</v>
      </c>
      <c r="B398" s="5" t="s">
        <v>41</v>
      </c>
      <c r="C398" s="151">
        <v>988100701</v>
      </c>
      <c r="D398" s="102" t="s">
        <v>209</v>
      </c>
      <c r="E398" s="8"/>
    </row>
    <row r="399" spans="1:5">
      <c r="A399" s="11" t="s">
        <v>25</v>
      </c>
      <c r="B399" s="11" t="s">
        <v>7</v>
      </c>
      <c r="C399" s="133">
        <v>988100688</v>
      </c>
      <c r="D399" s="102" t="s">
        <v>177</v>
      </c>
      <c r="E399" s="8"/>
    </row>
    <row r="400" spans="1:5">
      <c r="A400" s="11" t="s">
        <v>25</v>
      </c>
      <c r="B400" s="11" t="s">
        <v>7</v>
      </c>
      <c r="C400" s="133">
        <v>988100689</v>
      </c>
      <c r="D400" s="102" t="s">
        <v>178</v>
      </c>
      <c r="E400" s="8"/>
    </row>
    <row r="401" spans="1:5">
      <c r="A401" s="11" t="s">
        <v>25</v>
      </c>
      <c r="B401" s="11" t="s">
        <v>7</v>
      </c>
      <c r="C401" s="133">
        <v>988100690</v>
      </c>
      <c r="D401" s="102" t="s">
        <v>179</v>
      </c>
      <c r="E401" s="8"/>
    </row>
    <row r="402" spans="1:5">
      <c r="A402" s="11" t="s">
        <v>25</v>
      </c>
      <c r="B402" s="11" t="s">
        <v>7</v>
      </c>
      <c r="C402" s="133">
        <v>988100691</v>
      </c>
      <c r="D402" s="9" t="s">
        <v>180</v>
      </c>
      <c r="E402" s="8"/>
    </row>
    <row r="403" spans="1:5">
      <c r="A403" s="11" t="s">
        <v>40</v>
      </c>
      <c r="B403" s="11" t="s">
        <v>41</v>
      </c>
      <c r="C403" s="133">
        <v>910063</v>
      </c>
      <c r="D403" s="7" t="s">
        <v>260</v>
      </c>
      <c r="E403" s="8"/>
    </row>
    <row r="404" spans="1:5">
      <c r="A404" s="11" t="s">
        <v>89</v>
      </c>
      <c r="B404" s="11" t="s">
        <v>7</v>
      </c>
      <c r="C404" s="133">
        <v>988100706</v>
      </c>
      <c r="D404" s="102" t="s">
        <v>234</v>
      </c>
      <c r="E404" s="8"/>
    </row>
    <row r="405" spans="1:5">
      <c r="A405" s="11" t="s">
        <v>25</v>
      </c>
      <c r="B405" s="11" t="s">
        <v>7</v>
      </c>
      <c r="C405" s="133">
        <v>988100707</v>
      </c>
      <c r="D405" s="102" t="s">
        <v>233</v>
      </c>
      <c r="E405" s="8"/>
    </row>
    <row r="406" spans="1:5">
      <c r="A406" s="5" t="s">
        <v>25</v>
      </c>
      <c r="B406" s="5" t="s">
        <v>41</v>
      </c>
      <c r="C406" s="133">
        <v>988100708</v>
      </c>
      <c r="D406" s="102" t="s">
        <v>235</v>
      </c>
      <c r="E406" s="8"/>
    </row>
    <row r="407" spans="1:5">
      <c r="A407" s="5" t="s">
        <v>40</v>
      </c>
      <c r="B407" s="5" t="s">
        <v>41</v>
      </c>
      <c r="C407" s="133">
        <v>988100709</v>
      </c>
      <c r="D407" s="102" t="s">
        <v>236</v>
      </c>
      <c r="E407" s="8"/>
    </row>
    <row r="408" spans="1:5">
      <c r="A408" s="5" t="s">
        <v>6</v>
      </c>
      <c r="B408" s="5" t="s">
        <v>7</v>
      </c>
      <c r="C408" s="133">
        <v>988100714</v>
      </c>
      <c r="D408" s="102" t="s">
        <v>560</v>
      </c>
      <c r="E408" s="8">
        <v>86</v>
      </c>
    </row>
    <row r="409" spans="1:5">
      <c r="A409" s="5" t="s">
        <v>6</v>
      </c>
      <c r="B409" s="5" t="s">
        <v>7</v>
      </c>
      <c r="C409" s="133">
        <v>988100715</v>
      </c>
      <c r="D409" s="102" t="s">
        <v>561</v>
      </c>
      <c r="E409" s="8"/>
    </row>
    <row r="410" spans="1:5">
      <c r="A410" s="5" t="s">
        <v>25</v>
      </c>
      <c r="B410" s="5" t="s">
        <v>7</v>
      </c>
      <c r="C410" s="133">
        <v>988100716</v>
      </c>
      <c r="D410" s="102" t="s">
        <v>244</v>
      </c>
      <c r="E410" s="8"/>
    </row>
    <row r="411" spans="1:5">
      <c r="A411" s="5" t="s">
        <v>25</v>
      </c>
      <c r="B411" s="5" t="s">
        <v>7</v>
      </c>
      <c r="C411" s="133">
        <v>988100717</v>
      </c>
      <c r="D411" s="79" t="s">
        <v>562</v>
      </c>
      <c r="E411" s="8"/>
    </row>
    <row r="412" spans="1:5">
      <c r="A412" s="5" t="s">
        <v>25</v>
      </c>
      <c r="B412" s="5" t="s">
        <v>7</v>
      </c>
      <c r="C412" s="133">
        <v>988100718</v>
      </c>
      <c r="D412" s="79" t="s">
        <v>563</v>
      </c>
      <c r="E412" s="8"/>
    </row>
    <row r="413" spans="1:5">
      <c r="A413" s="5" t="s">
        <v>25</v>
      </c>
      <c r="B413" s="5" t="s">
        <v>7</v>
      </c>
      <c r="C413" s="133">
        <v>988100719</v>
      </c>
      <c r="D413" s="79" t="s">
        <v>564</v>
      </c>
      <c r="E413" s="8"/>
    </row>
    <row r="414" spans="1:5">
      <c r="A414" s="5" t="s">
        <v>25</v>
      </c>
      <c r="B414" s="5" t="s">
        <v>7</v>
      </c>
      <c r="C414" s="133">
        <v>988100720</v>
      </c>
      <c r="D414" s="79" t="s">
        <v>565</v>
      </c>
      <c r="E414" s="8"/>
    </row>
    <row r="415" spans="1:5">
      <c r="A415" s="5" t="s">
        <v>25</v>
      </c>
      <c r="B415" s="5" t="s">
        <v>7</v>
      </c>
      <c r="C415" s="135">
        <v>200383</v>
      </c>
      <c r="D415" s="79" t="s">
        <v>566</v>
      </c>
      <c r="E415" s="8"/>
    </row>
    <row r="416" spans="1:5">
      <c r="A416" s="5" t="s">
        <v>25</v>
      </c>
      <c r="B416" s="5" t="s">
        <v>7</v>
      </c>
      <c r="C416" s="133">
        <v>988100721</v>
      </c>
      <c r="D416" s="79" t="s">
        <v>567</v>
      </c>
      <c r="E416" s="8"/>
    </row>
    <row r="417" spans="1:5">
      <c r="A417" s="5" t="s">
        <v>25</v>
      </c>
      <c r="B417" s="5" t="s">
        <v>7</v>
      </c>
      <c r="C417" s="133">
        <v>988100722</v>
      </c>
      <c r="D417" s="79" t="s">
        <v>269</v>
      </c>
      <c r="E417" s="8"/>
    </row>
    <row r="418" spans="1:5">
      <c r="A418" s="5" t="s">
        <v>25</v>
      </c>
      <c r="B418" s="5" t="s">
        <v>7</v>
      </c>
      <c r="C418" s="133">
        <v>988100723</v>
      </c>
      <c r="D418" s="79" t="s">
        <v>568</v>
      </c>
      <c r="E418" s="8"/>
    </row>
    <row r="419" spans="1:5">
      <c r="A419" s="5" t="s">
        <v>25</v>
      </c>
      <c r="B419" s="5" t="s">
        <v>7</v>
      </c>
      <c r="C419" s="133">
        <v>988100724</v>
      </c>
      <c r="D419" s="79" t="s">
        <v>569</v>
      </c>
      <c r="E419" s="8"/>
    </row>
    <row r="420" spans="1:5">
      <c r="A420" s="5" t="s">
        <v>25</v>
      </c>
      <c r="B420" s="5" t="s">
        <v>41</v>
      </c>
      <c r="C420" s="133">
        <v>988100727</v>
      </c>
      <c r="D420" s="102" t="s">
        <v>245</v>
      </c>
      <c r="E420" s="8">
        <v>1</v>
      </c>
    </row>
    <row r="421" spans="1:5">
      <c r="A421" s="5" t="s">
        <v>25</v>
      </c>
      <c r="B421" s="5" t="s">
        <v>7</v>
      </c>
      <c r="C421" s="133">
        <v>988100728</v>
      </c>
      <c r="D421" s="17" t="s">
        <v>570</v>
      </c>
      <c r="E421" s="8"/>
    </row>
    <row r="422" spans="1:5">
      <c r="A422" s="5" t="s">
        <v>25</v>
      </c>
      <c r="B422" s="5" t="s">
        <v>7</v>
      </c>
      <c r="C422" s="133">
        <v>988100729</v>
      </c>
      <c r="D422" s="17" t="s">
        <v>571</v>
      </c>
      <c r="E422" s="8"/>
    </row>
    <row r="423" spans="1:5">
      <c r="A423" s="5" t="s">
        <v>25</v>
      </c>
      <c r="B423" s="5" t="s">
        <v>7</v>
      </c>
      <c r="C423" s="133">
        <v>988100730</v>
      </c>
      <c r="D423" s="17" t="s">
        <v>572</v>
      </c>
      <c r="E423" s="8"/>
    </row>
    <row r="424" spans="1:5">
      <c r="A424" s="5" t="s">
        <v>25</v>
      </c>
      <c r="B424" s="5" t="s">
        <v>7</v>
      </c>
      <c r="C424" s="133">
        <v>988100731</v>
      </c>
      <c r="D424" s="17" t="s">
        <v>573</v>
      </c>
      <c r="E424" s="8"/>
    </row>
    <row r="425" spans="1:5">
      <c r="A425" s="5" t="s">
        <v>25</v>
      </c>
      <c r="B425" s="5" t="s">
        <v>7</v>
      </c>
      <c r="C425" s="133">
        <v>988100732</v>
      </c>
      <c r="D425" s="17" t="s">
        <v>574</v>
      </c>
      <c r="E425" s="8"/>
    </row>
    <row r="426" spans="1:5">
      <c r="A426" s="5" t="s">
        <v>25</v>
      </c>
      <c r="B426" s="5" t="s">
        <v>7</v>
      </c>
      <c r="C426" s="133">
        <v>988100733</v>
      </c>
      <c r="D426" s="17" t="s">
        <v>575</v>
      </c>
      <c r="E426" s="8"/>
    </row>
    <row r="427" spans="1:5">
      <c r="A427" s="5" t="s">
        <v>25</v>
      </c>
      <c r="B427" s="5" t="s">
        <v>7</v>
      </c>
      <c r="C427" s="133">
        <v>988100734</v>
      </c>
      <c r="D427" s="17" t="s">
        <v>576</v>
      </c>
      <c r="E427" s="8"/>
    </row>
    <row r="428" spans="1:5">
      <c r="A428" s="5" t="s">
        <v>25</v>
      </c>
      <c r="B428" s="5" t="s">
        <v>7</v>
      </c>
      <c r="C428" s="133">
        <v>988100735</v>
      </c>
      <c r="D428" s="17" t="s">
        <v>577</v>
      </c>
      <c r="E428" s="8"/>
    </row>
    <row r="429" spans="1:5">
      <c r="A429" s="5" t="s">
        <v>25</v>
      </c>
      <c r="B429" s="5" t="s">
        <v>7</v>
      </c>
      <c r="C429" s="133">
        <v>988100736</v>
      </c>
      <c r="D429" s="17" t="s">
        <v>578</v>
      </c>
      <c r="E429" s="8"/>
    </row>
    <row r="430" spans="1:5">
      <c r="A430" s="5" t="s">
        <v>25</v>
      </c>
      <c r="B430" s="5" t="s">
        <v>41</v>
      </c>
      <c r="C430" s="133">
        <v>988100737</v>
      </c>
      <c r="D430" s="102" t="s">
        <v>248</v>
      </c>
      <c r="E430" s="8"/>
    </row>
    <row r="431" spans="1:5">
      <c r="A431" s="5" t="s">
        <v>6</v>
      </c>
      <c r="B431" s="5" t="s">
        <v>7</v>
      </c>
      <c r="C431" s="133">
        <v>988100738</v>
      </c>
      <c r="D431" s="102" t="s">
        <v>251</v>
      </c>
      <c r="E431" s="8"/>
    </row>
    <row r="432" spans="1:5">
      <c r="A432" s="11" t="s">
        <v>124</v>
      </c>
      <c r="B432" s="11" t="s">
        <v>41</v>
      </c>
      <c r="C432" s="137">
        <v>988100584</v>
      </c>
      <c r="D432" s="127" t="s">
        <v>135</v>
      </c>
      <c r="E432" s="101">
        <v>24</v>
      </c>
    </row>
    <row r="433" spans="1:5">
      <c r="A433" s="11" t="s">
        <v>124</v>
      </c>
      <c r="B433" s="11" t="s">
        <v>41</v>
      </c>
      <c r="C433" s="137">
        <v>988100580</v>
      </c>
      <c r="D433" s="127" t="s">
        <v>129</v>
      </c>
      <c r="E433" s="101">
        <v>3</v>
      </c>
    </row>
    <row r="434" spans="1:5">
      <c r="A434" s="11" t="s">
        <v>124</v>
      </c>
      <c r="B434" s="11" t="s">
        <v>41</v>
      </c>
      <c r="C434" s="137">
        <v>988100634</v>
      </c>
      <c r="D434" s="127" t="s">
        <v>147</v>
      </c>
      <c r="E434" s="101">
        <v>8</v>
      </c>
    </row>
    <row r="435" spans="1:5">
      <c r="A435" s="11" t="s">
        <v>124</v>
      </c>
      <c r="B435" s="11" t="s">
        <v>41</v>
      </c>
      <c r="C435" s="137">
        <v>988100635</v>
      </c>
      <c r="D435" s="127" t="s">
        <v>148</v>
      </c>
      <c r="E435" s="101">
        <v>6</v>
      </c>
    </row>
    <row r="436" spans="1:5">
      <c r="A436" s="11" t="s">
        <v>40</v>
      </c>
      <c r="B436" s="11" t="s">
        <v>41</v>
      </c>
      <c r="C436" s="133">
        <v>988100739</v>
      </c>
      <c r="D436" s="102" t="s">
        <v>262</v>
      </c>
      <c r="E436" s="8"/>
    </row>
    <row r="437" spans="1:5">
      <c r="A437" s="11" t="s">
        <v>124</v>
      </c>
      <c r="B437" s="11" t="s">
        <v>41</v>
      </c>
      <c r="C437" s="133">
        <v>988100636</v>
      </c>
      <c r="D437" s="17" t="s">
        <v>149</v>
      </c>
      <c r="E437" s="101">
        <v>11</v>
      </c>
    </row>
    <row r="438" spans="1:5">
      <c r="A438" s="11" t="s">
        <v>124</v>
      </c>
      <c r="B438" s="11" t="s">
        <v>41</v>
      </c>
      <c r="C438" s="133">
        <v>988100585</v>
      </c>
      <c r="D438" s="17" t="s">
        <v>136</v>
      </c>
      <c r="E438" s="101">
        <v>36</v>
      </c>
    </row>
    <row r="439" spans="1:5">
      <c r="A439" s="11" t="s">
        <v>124</v>
      </c>
      <c r="B439" s="11" t="s">
        <v>41</v>
      </c>
      <c r="C439" s="133">
        <v>988100581</v>
      </c>
      <c r="D439" s="17" t="s">
        <v>131</v>
      </c>
      <c r="E439" s="101">
        <v>17</v>
      </c>
    </row>
    <row r="440" spans="1:5">
      <c r="A440" s="5" t="s">
        <v>25</v>
      </c>
      <c r="B440" s="5" t="s">
        <v>7</v>
      </c>
      <c r="C440" s="133">
        <v>988100011</v>
      </c>
      <c r="D440" s="102" t="s">
        <v>579</v>
      </c>
      <c r="E440" s="8"/>
    </row>
    <row r="441" spans="1:5">
      <c r="A441" s="11" t="s">
        <v>40</v>
      </c>
      <c r="B441" s="11" t="s">
        <v>41</v>
      </c>
      <c r="C441" s="133">
        <v>988100740</v>
      </c>
      <c r="D441" s="102" t="s">
        <v>580</v>
      </c>
      <c r="E441" s="8"/>
    </row>
    <row r="442" spans="1:5">
      <c r="A442" s="11" t="s">
        <v>40</v>
      </c>
      <c r="B442" s="11" t="s">
        <v>41</v>
      </c>
      <c r="C442" s="133">
        <v>988100741</v>
      </c>
      <c r="D442" s="102" t="s">
        <v>581</v>
      </c>
      <c r="E442" s="8"/>
    </row>
    <row r="443" spans="1:5">
      <c r="A443" s="11" t="s">
        <v>40</v>
      </c>
      <c r="B443" s="11" t="s">
        <v>41</v>
      </c>
      <c r="C443" s="133">
        <v>988100742</v>
      </c>
      <c r="D443" s="102" t="s">
        <v>582</v>
      </c>
      <c r="E443" s="8"/>
    </row>
    <row r="444" spans="1:5">
      <c r="A444" s="11" t="s">
        <v>40</v>
      </c>
      <c r="B444" s="11" t="s">
        <v>41</v>
      </c>
      <c r="C444" s="133">
        <v>988100743</v>
      </c>
      <c r="D444" s="102" t="s">
        <v>583</v>
      </c>
      <c r="E444" s="8"/>
    </row>
    <row r="445" spans="1:5">
      <c r="A445" s="11" t="s">
        <v>40</v>
      </c>
      <c r="B445" s="11" t="s">
        <v>41</v>
      </c>
      <c r="C445" s="133">
        <v>988100744</v>
      </c>
      <c r="D445" s="102" t="s">
        <v>584</v>
      </c>
      <c r="E445" s="8"/>
    </row>
    <row r="446" spans="1:5">
      <c r="A446" s="11" t="s">
        <v>40</v>
      </c>
      <c r="B446" s="11" t="s">
        <v>41</v>
      </c>
      <c r="C446" s="133">
        <v>988100745</v>
      </c>
      <c r="D446" s="102" t="s">
        <v>585</v>
      </c>
      <c r="E446" s="8"/>
    </row>
    <row r="447" spans="1:5">
      <c r="A447" s="11" t="s">
        <v>6</v>
      </c>
      <c r="B447" s="11" t="s">
        <v>7</v>
      </c>
      <c r="C447" s="133">
        <v>100214</v>
      </c>
      <c r="D447" s="102" t="s">
        <v>264</v>
      </c>
      <c r="E447" s="8">
        <v>56</v>
      </c>
    </row>
    <row r="448" spans="1:5">
      <c r="A448" s="11" t="s">
        <v>25</v>
      </c>
      <c r="B448" s="11" t="s">
        <v>41</v>
      </c>
      <c r="C448" s="144" t="s">
        <v>308</v>
      </c>
      <c r="D448" s="102" t="s">
        <v>586</v>
      </c>
      <c r="E448" s="8">
        <v>3</v>
      </c>
    </row>
    <row r="449" spans="1:5">
      <c r="A449" s="11" t="s">
        <v>6</v>
      </c>
      <c r="B449" s="11" t="s">
        <v>7</v>
      </c>
      <c r="C449" s="133">
        <v>100213</v>
      </c>
      <c r="D449" s="102" t="s">
        <v>587</v>
      </c>
      <c r="E449" s="8">
        <v>57</v>
      </c>
    </row>
    <row r="450" spans="1:5">
      <c r="A450" s="11" t="s">
        <v>89</v>
      </c>
      <c r="B450" s="11" t="s">
        <v>7</v>
      </c>
      <c r="C450" s="133">
        <v>988100746</v>
      </c>
      <c r="D450" s="102" t="s">
        <v>588</v>
      </c>
      <c r="E450" s="8"/>
    </row>
    <row r="451" spans="1:5">
      <c r="A451" s="11" t="s">
        <v>6</v>
      </c>
      <c r="B451" s="11" t="s">
        <v>7</v>
      </c>
      <c r="C451" s="144">
        <v>100205</v>
      </c>
      <c r="D451" s="102" t="s">
        <v>22</v>
      </c>
      <c r="E451" s="8">
        <v>25</v>
      </c>
    </row>
    <row r="452" spans="1:5">
      <c r="A452" s="11" t="s">
        <v>6</v>
      </c>
      <c r="B452" s="11" t="s">
        <v>7</v>
      </c>
      <c r="C452" s="152">
        <v>8994985000266</v>
      </c>
      <c r="D452" s="102" t="s">
        <v>589</v>
      </c>
      <c r="E452" s="8">
        <v>17</v>
      </c>
    </row>
    <row r="453" spans="1:5">
      <c r="A453" s="11" t="s">
        <v>6</v>
      </c>
      <c r="B453" s="11" t="s">
        <v>7</v>
      </c>
      <c r="C453" s="133">
        <v>898100005</v>
      </c>
      <c r="D453" s="102" t="s">
        <v>590</v>
      </c>
      <c r="E453" s="8">
        <v>14</v>
      </c>
    </row>
    <row r="454" spans="1:5">
      <c r="A454" s="11" t="s">
        <v>25</v>
      </c>
      <c r="B454" s="11" t="s">
        <v>7</v>
      </c>
      <c r="C454" s="133">
        <v>9555192504900</v>
      </c>
      <c r="D454" s="102" t="s">
        <v>591</v>
      </c>
      <c r="E454" s="8"/>
    </row>
    <row r="455" spans="1:5">
      <c r="A455" s="11" t="s">
        <v>25</v>
      </c>
      <c r="B455" s="11" t="s">
        <v>7</v>
      </c>
      <c r="C455" s="133"/>
      <c r="D455" s="102" t="s">
        <v>592</v>
      </c>
      <c r="E455" s="8">
        <v>6</v>
      </c>
    </row>
    <row r="456" spans="1:5">
      <c r="A456" s="5"/>
      <c r="B456" s="5"/>
      <c r="C456" s="143"/>
      <c r="D456" s="15"/>
      <c r="E456" s="8"/>
    </row>
    <row r="457" spans="1:5" ht="13">
      <c r="A457" s="128"/>
      <c r="B457" s="128"/>
      <c r="C457" s="153"/>
      <c r="D457" s="129"/>
      <c r="E457" s="130">
        <f>SUM(Table157[STOK AKHIR])</f>
        <v>5452</v>
      </c>
    </row>
    <row r="475" spans="5:5" ht="13">
      <c r="E475" s="131"/>
    </row>
    <row r="476" spans="5:5" ht="13">
      <c r="E476" s="131"/>
    </row>
    <row r="477" spans="5:5" ht="13">
      <c r="E477" s="131"/>
    </row>
    <row r="478" spans="5:5" ht="13">
      <c r="E478" s="131"/>
    </row>
    <row r="479" spans="5:5" ht="13">
      <c r="E479" s="131"/>
    </row>
    <row r="480" spans="5:5" ht="13">
      <c r="E480" s="131"/>
    </row>
  </sheetData>
  <conditionalFormatting sqref="D2:D181">
    <cfRule type="duplicateValues" dxfId="343" priority="101"/>
  </conditionalFormatting>
  <conditionalFormatting sqref="D2:D264">
    <cfRule type="duplicateValues" dxfId="342" priority="150"/>
  </conditionalFormatting>
  <conditionalFormatting sqref="D3">
    <cfRule type="duplicateValues" dxfId="341" priority="137"/>
  </conditionalFormatting>
  <conditionalFormatting sqref="D4">
    <cfRule type="duplicateValues" dxfId="340" priority="136"/>
  </conditionalFormatting>
  <conditionalFormatting sqref="D5">
    <cfRule type="duplicateValues" dxfId="339" priority="135"/>
  </conditionalFormatting>
  <conditionalFormatting sqref="D7">
    <cfRule type="duplicateValues" dxfId="338" priority="156"/>
  </conditionalFormatting>
  <conditionalFormatting sqref="D8">
    <cfRule type="duplicateValues" dxfId="337" priority="134"/>
  </conditionalFormatting>
  <conditionalFormatting sqref="D9">
    <cfRule type="duplicateValues" dxfId="336" priority="133"/>
  </conditionalFormatting>
  <conditionalFormatting sqref="D10">
    <cfRule type="duplicateValues" dxfId="335" priority="132"/>
  </conditionalFormatting>
  <conditionalFormatting sqref="D11">
    <cfRule type="duplicateValues" dxfId="334" priority="131"/>
  </conditionalFormatting>
  <conditionalFormatting sqref="D12:D14">
    <cfRule type="duplicateValues" dxfId="333" priority="130"/>
  </conditionalFormatting>
  <conditionalFormatting sqref="D15">
    <cfRule type="duplicateValues" dxfId="332" priority="129"/>
  </conditionalFormatting>
  <conditionalFormatting sqref="D16">
    <cfRule type="duplicateValues" dxfId="331" priority="128"/>
  </conditionalFormatting>
  <conditionalFormatting sqref="D17">
    <cfRule type="duplicateValues" dxfId="330" priority="127"/>
  </conditionalFormatting>
  <conditionalFormatting sqref="D18">
    <cfRule type="duplicateValues" dxfId="329" priority="126"/>
  </conditionalFormatting>
  <conditionalFormatting sqref="D19:D23">
    <cfRule type="duplicateValues" dxfId="328" priority="125"/>
  </conditionalFormatting>
  <conditionalFormatting sqref="D23">
    <cfRule type="duplicateValues" dxfId="327" priority="111"/>
  </conditionalFormatting>
  <conditionalFormatting sqref="D24">
    <cfRule type="duplicateValues" dxfId="326" priority="124"/>
  </conditionalFormatting>
  <conditionalFormatting sqref="D25">
    <cfRule type="duplicateValues" dxfId="325" priority="123"/>
  </conditionalFormatting>
  <conditionalFormatting sqref="D26">
    <cfRule type="duplicateValues" dxfId="324" priority="122"/>
  </conditionalFormatting>
  <conditionalFormatting sqref="D27:D33">
    <cfRule type="duplicateValues" dxfId="323" priority="121"/>
  </conditionalFormatting>
  <conditionalFormatting sqref="D34">
    <cfRule type="duplicateValues" dxfId="322" priority="157"/>
  </conditionalFormatting>
  <conditionalFormatting sqref="D35">
    <cfRule type="duplicateValues" dxfId="321" priority="120"/>
  </conditionalFormatting>
  <conditionalFormatting sqref="D36">
    <cfRule type="duplicateValues" dxfId="320" priority="119"/>
  </conditionalFormatting>
  <conditionalFormatting sqref="D39">
    <cfRule type="duplicateValues" dxfId="319" priority="118"/>
  </conditionalFormatting>
  <conditionalFormatting sqref="D40">
    <cfRule type="duplicateValues" dxfId="318" priority="117"/>
  </conditionalFormatting>
  <conditionalFormatting sqref="D41">
    <cfRule type="duplicateValues" dxfId="317" priority="116"/>
  </conditionalFormatting>
  <conditionalFormatting sqref="D42:D43">
    <cfRule type="duplicateValues" dxfId="316" priority="115"/>
  </conditionalFormatting>
  <conditionalFormatting sqref="D43">
    <cfRule type="duplicateValues" dxfId="315" priority="112"/>
  </conditionalFormatting>
  <conditionalFormatting sqref="D70">
    <cfRule type="duplicateValues" dxfId="314" priority="110"/>
  </conditionalFormatting>
  <conditionalFormatting sqref="D71:D73 D75">
    <cfRule type="duplicateValues" dxfId="313" priority="109"/>
  </conditionalFormatting>
  <conditionalFormatting sqref="D72">
    <cfRule type="duplicateValues" dxfId="312" priority="108"/>
  </conditionalFormatting>
  <conditionalFormatting sqref="D73">
    <cfRule type="duplicateValues" dxfId="311" priority="107"/>
  </conditionalFormatting>
  <conditionalFormatting sqref="D75 D44:D73">
    <cfRule type="duplicateValues" dxfId="310" priority="114"/>
  </conditionalFormatting>
  <conditionalFormatting sqref="D75">
    <cfRule type="duplicateValues" dxfId="309" priority="106"/>
  </conditionalFormatting>
  <conditionalFormatting sqref="D80">
    <cfRule type="duplicateValues" dxfId="308" priority="105"/>
  </conditionalFormatting>
  <conditionalFormatting sqref="D80:D96">
    <cfRule type="duplicateValues" dxfId="307" priority="104"/>
  </conditionalFormatting>
  <conditionalFormatting sqref="D82:D96">
    <cfRule type="duplicateValues" dxfId="306" priority="103"/>
  </conditionalFormatting>
  <conditionalFormatting sqref="D83:D96">
    <cfRule type="duplicateValues" dxfId="305" priority="102"/>
  </conditionalFormatting>
  <conditionalFormatting sqref="D99">
    <cfRule type="duplicateValues" dxfId="304" priority="113"/>
  </conditionalFormatting>
  <conditionalFormatting sqref="D180:D181">
    <cfRule type="duplicateValues" dxfId="303" priority="100"/>
  </conditionalFormatting>
  <conditionalFormatting sqref="D190">
    <cfRule type="duplicateValues" dxfId="302" priority="99"/>
  </conditionalFormatting>
  <conditionalFormatting sqref="D191:D196">
    <cfRule type="duplicateValues" dxfId="301" priority="98"/>
  </conditionalFormatting>
  <conditionalFormatting sqref="D194:D196">
    <cfRule type="duplicateValues" dxfId="300" priority="97"/>
  </conditionalFormatting>
  <conditionalFormatting sqref="D199">
    <cfRule type="duplicateValues" dxfId="299" priority="96"/>
  </conditionalFormatting>
  <conditionalFormatting sqref="D203:D210">
    <cfRule type="duplicateValues" dxfId="298" priority="153"/>
  </conditionalFormatting>
  <conditionalFormatting sqref="D204:D210">
    <cfRule type="duplicateValues" dxfId="297" priority="152"/>
  </conditionalFormatting>
  <conditionalFormatting sqref="D211:D246">
    <cfRule type="duplicateValues" dxfId="296" priority="151"/>
  </conditionalFormatting>
  <conditionalFormatting sqref="D245:D265">
    <cfRule type="duplicateValues" dxfId="295" priority="91"/>
  </conditionalFormatting>
  <conditionalFormatting sqref="D246:D265">
    <cfRule type="duplicateValues" dxfId="294" priority="90"/>
  </conditionalFormatting>
  <conditionalFormatting sqref="D247 D249:D264">
    <cfRule type="duplicateValues" dxfId="293" priority="155"/>
  </conditionalFormatting>
  <conditionalFormatting sqref="D247:D265">
    <cfRule type="duplicateValues" dxfId="292" priority="89"/>
  </conditionalFormatting>
  <conditionalFormatting sqref="D255:D265">
    <cfRule type="duplicateValues" dxfId="291" priority="88"/>
  </conditionalFormatting>
  <conditionalFormatting sqref="D257">
    <cfRule type="duplicateValues" dxfId="290" priority="95"/>
  </conditionalFormatting>
  <conditionalFormatting sqref="D258">
    <cfRule type="duplicateValues" dxfId="289" priority="94"/>
  </conditionalFormatting>
  <conditionalFormatting sqref="D259">
    <cfRule type="duplicateValues" dxfId="288" priority="93"/>
  </conditionalFormatting>
  <conditionalFormatting sqref="D260">
    <cfRule type="duplicateValues" dxfId="287" priority="92"/>
  </conditionalFormatting>
  <conditionalFormatting sqref="D261:D264">
    <cfRule type="duplicateValues" dxfId="286" priority="154"/>
  </conditionalFormatting>
  <conditionalFormatting sqref="D261:D265">
    <cfRule type="duplicateValues" dxfId="285" priority="87"/>
  </conditionalFormatting>
  <conditionalFormatting sqref="D262:D264">
    <cfRule type="duplicateValues" dxfId="284" priority="149"/>
  </conditionalFormatting>
  <conditionalFormatting sqref="D262:D265">
    <cfRule type="duplicateValues" dxfId="283" priority="86"/>
  </conditionalFormatting>
  <conditionalFormatting sqref="D263:D265">
    <cfRule type="duplicateValues" dxfId="282" priority="85"/>
  </conditionalFormatting>
  <conditionalFormatting sqref="D265">
    <cfRule type="duplicateValues" dxfId="281" priority="84"/>
  </conditionalFormatting>
  <conditionalFormatting sqref="D267:D269">
    <cfRule type="duplicateValues" dxfId="280" priority="148"/>
  </conditionalFormatting>
  <conditionalFormatting sqref="D268:D269">
    <cfRule type="duplicateValues" dxfId="279" priority="147"/>
  </conditionalFormatting>
  <conditionalFormatting sqref="D269">
    <cfRule type="duplicateValues" dxfId="278" priority="146"/>
  </conditionalFormatting>
  <conditionalFormatting sqref="D272">
    <cfRule type="duplicateValues" dxfId="277" priority="145"/>
  </conditionalFormatting>
  <conditionalFormatting sqref="D275:D281">
    <cfRule type="duplicateValues" dxfId="276" priority="144"/>
  </conditionalFormatting>
  <conditionalFormatting sqref="D277:D281">
    <cfRule type="duplicateValues" dxfId="275" priority="143"/>
  </conditionalFormatting>
  <conditionalFormatting sqref="D278:D281">
    <cfRule type="duplicateValues" dxfId="274" priority="142"/>
  </conditionalFormatting>
  <conditionalFormatting sqref="D279:D281">
    <cfRule type="duplicateValues" dxfId="273" priority="141"/>
  </conditionalFormatting>
  <conditionalFormatting sqref="D281">
    <cfRule type="duplicateValues" dxfId="272" priority="83"/>
  </conditionalFormatting>
  <conditionalFormatting sqref="D282">
    <cfRule type="duplicateValues" dxfId="271" priority="82"/>
  </conditionalFormatting>
  <conditionalFormatting sqref="D283:D284">
    <cfRule type="duplicateValues" dxfId="270" priority="140"/>
  </conditionalFormatting>
  <conditionalFormatting sqref="D284">
    <cfRule type="duplicateValues" dxfId="269" priority="139"/>
  </conditionalFormatting>
  <conditionalFormatting sqref="D285:D290">
    <cfRule type="duplicateValues" dxfId="268" priority="81"/>
  </conditionalFormatting>
  <conditionalFormatting sqref="D286:D290">
    <cfRule type="duplicateValues" dxfId="267" priority="80"/>
  </conditionalFormatting>
  <conditionalFormatting sqref="D286:D365 D367:D369">
    <cfRule type="duplicateValues" dxfId="266" priority="158"/>
  </conditionalFormatting>
  <conditionalFormatting sqref="D287">
    <cfRule type="duplicateValues" dxfId="265" priority="78"/>
  </conditionalFormatting>
  <conditionalFormatting sqref="D287:D290">
    <cfRule type="duplicateValues" dxfId="264" priority="79"/>
  </conditionalFormatting>
  <conditionalFormatting sqref="D288">
    <cfRule type="duplicateValues" dxfId="263" priority="77"/>
  </conditionalFormatting>
  <conditionalFormatting sqref="D289">
    <cfRule type="duplicateValues" dxfId="262" priority="76"/>
  </conditionalFormatting>
  <conditionalFormatting sqref="D310:D365">
    <cfRule type="duplicateValues" dxfId="261" priority="56"/>
  </conditionalFormatting>
  <conditionalFormatting sqref="D311:D365">
    <cfRule type="duplicateValues" dxfId="260" priority="55"/>
  </conditionalFormatting>
  <conditionalFormatting sqref="D312:D365">
    <cfRule type="duplicateValues" dxfId="259" priority="54"/>
  </conditionalFormatting>
  <conditionalFormatting sqref="D315:D365">
    <cfRule type="duplicateValues" dxfId="258" priority="53"/>
  </conditionalFormatting>
  <conditionalFormatting sqref="D321">
    <cfRule type="duplicateValues" dxfId="257" priority="75"/>
  </conditionalFormatting>
  <conditionalFormatting sqref="D323">
    <cfRule type="duplicateValues" dxfId="256" priority="74"/>
  </conditionalFormatting>
  <conditionalFormatting sqref="D324:D365">
    <cfRule type="duplicateValues" dxfId="255" priority="52"/>
  </conditionalFormatting>
  <conditionalFormatting sqref="D326">
    <cfRule type="duplicateValues" dxfId="254" priority="72"/>
  </conditionalFormatting>
  <conditionalFormatting sqref="D326:D332 D335:D365">
    <cfRule type="duplicateValues" dxfId="253" priority="51"/>
  </conditionalFormatting>
  <conditionalFormatting sqref="D326:D332">
    <cfRule type="duplicateValues" dxfId="252" priority="73"/>
  </conditionalFormatting>
  <conditionalFormatting sqref="D327">
    <cfRule type="duplicateValues" dxfId="251" priority="71"/>
  </conditionalFormatting>
  <conditionalFormatting sqref="D328">
    <cfRule type="duplicateValues" dxfId="250" priority="70"/>
  </conditionalFormatting>
  <conditionalFormatting sqref="D329">
    <cfRule type="duplicateValues" dxfId="249" priority="69"/>
  </conditionalFormatting>
  <conditionalFormatting sqref="D330">
    <cfRule type="duplicateValues" dxfId="248" priority="68"/>
  </conditionalFormatting>
  <conditionalFormatting sqref="D331">
    <cfRule type="duplicateValues" dxfId="247" priority="67"/>
  </conditionalFormatting>
  <conditionalFormatting sqref="D332">
    <cfRule type="duplicateValues" dxfId="246" priority="66"/>
  </conditionalFormatting>
  <conditionalFormatting sqref="D335">
    <cfRule type="duplicateValues" dxfId="245" priority="65"/>
  </conditionalFormatting>
  <conditionalFormatting sqref="D336">
    <cfRule type="duplicateValues" dxfId="244" priority="64"/>
  </conditionalFormatting>
  <conditionalFormatting sqref="D338">
    <cfRule type="duplicateValues" dxfId="243" priority="63"/>
  </conditionalFormatting>
  <conditionalFormatting sqref="D339:D340">
    <cfRule type="duplicateValues" dxfId="242" priority="62"/>
  </conditionalFormatting>
  <conditionalFormatting sqref="D344">
    <cfRule type="duplicateValues" dxfId="241" priority="61"/>
  </conditionalFormatting>
  <conditionalFormatting sqref="D346:D365">
    <cfRule type="duplicateValues" dxfId="240" priority="50"/>
  </conditionalFormatting>
  <conditionalFormatting sqref="D348">
    <cfRule type="duplicateValues" dxfId="239" priority="60"/>
  </conditionalFormatting>
  <conditionalFormatting sqref="D349:D365">
    <cfRule type="duplicateValues" dxfId="238" priority="49"/>
  </conditionalFormatting>
  <conditionalFormatting sqref="D350:D365">
    <cfRule type="duplicateValues" dxfId="237" priority="48"/>
  </conditionalFormatting>
  <conditionalFormatting sqref="D353">
    <cfRule type="duplicateValues" dxfId="236" priority="59"/>
  </conditionalFormatting>
  <conditionalFormatting sqref="D354">
    <cfRule type="duplicateValues" dxfId="235" priority="58"/>
  </conditionalFormatting>
  <conditionalFormatting sqref="D355:D365">
    <cfRule type="duplicateValues" dxfId="234" priority="47"/>
  </conditionalFormatting>
  <conditionalFormatting sqref="D356">
    <cfRule type="duplicateValues" dxfId="233" priority="57"/>
  </conditionalFormatting>
  <conditionalFormatting sqref="D359">
    <cfRule type="duplicateValues" dxfId="232" priority="46"/>
  </conditionalFormatting>
  <conditionalFormatting sqref="D361:D365">
    <cfRule type="duplicateValues" dxfId="231" priority="45"/>
  </conditionalFormatting>
  <conditionalFormatting sqref="D362">
    <cfRule type="duplicateValues" dxfId="230" priority="44"/>
  </conditionalFormatting>
  <conditionalFormatting sqref="D363:D365">
    <cfRule type="duplicateValues" dxfId="229" priority="43"/>
  </conditionalFormatting>
  <conditionalFormatting sqref="D367">
    <cfRule type="duplicateValues" dxfId="228" priority="42"/>
  </conditionalFormatting>
  <conditionalFormatting sqref="D368:D369">
    <cfRule type="duplicateValues" dxfId="227" priority="41"/>
  </conditionalFormatting>
  <conditionalFormatting sqref="D369">
    <cfRule type="duplicateValues" dxfId="226" priority="159"/>
  </conditionalFormatting>
  <conditionalFormatting sqref="D370">
    <cfRule type="duplicateValues" dxfId="225" priority="138"/>
  </conditionalFormatting>
  <conditionalFormatting sqref="D375">
    <cfRule type="duplicateValues" dxfId="224" priority="40"/>
  </conditionalFormatting>
  <conditionalFormatting sqref="D376:D379">
    <cfRule type="duplicateValues" dxfId="223" priority="39"/>
  </conditionalFormatting>
  <conditionalFormatting sqref="D377">
    <cfRule type="duplicateValues" dxfId="222" priority="38"/>
  </conditionalFormatting>
  <conditionalFormatting sqref="D377:D379">
    <cfRule type="duplicateValues" dxfId="221" priority="33"/>
  </conditionalFormatting>
  <conditionalFormatting sqref="D378">
    <cfRule type="duplicateValues" dxfId="220" priority="36"/>
  </conditionalFormatting>
  <conditionalFormatting sqref="D378:D379">
    <cfRule type="duplicateValues" dxfId="219" priority="37"/>
  </conditionalFormatting>
  <conditionalFormatting sqref="D379">
    <cfRule type="duplicateValues" dxfId="218" priority="35"/>
  </conditionalFormatting>
  <conditionalFormatting sqref="D380">
    <cfRule type="duplicateValues" dxfId="217" priority="34"/>
  </conditionalFormatting>
  <conditionalFormatting sqref="D383">
    <cfRule type="duplicateValues" dxfId="216" priority="32"/>
  </conditionalFormatting>
  <conditionalFormatting sqref="D387">
    <cfRule type="duplicateValues" dxfId="215" priority="31"/>
  </conditionalFormatting>
  <conditionalFormatting sqref="D389">
    <cfRule type="duplicateValues" dxfId="214" priority="30"/>
  </conditionalFormatting>
  <conditionalFormatting sqref="D390">
    <cfRule type="duplicateValues" dxfId="213" priority="29"/>
  </conditionalFormatting>
  <conditionalFormatting sqref="D403">
    <cfRule type="duplicateValues" dxfId="212" priority="28"/>
    <cfRule type="duplicateValues" dxfId="211" priority="27"/>
  </conditionalFormatting>
  <conditionalFormatting sqref="D432">
    <cfRule type="duplicateValues" dxfId="210" priority="23"/>
    <cfRule type="duplicateValues" dxfId="209" priority="26"/>
    <cfRule type="duplicateValues" dxfId="208" priority="25"/>
    <cfRule type="duplicateValues" dxfId="207" priority="24"/>
  </conditionalFormatting>
  <conditionalFormatting sqref="D433">
    <cfRule type="duplicateValues" dxfId="206" priority="20"/>
    <cfRule type="duplicateValues" dxfId="205" priority="21"/>
    <cfRule type="duplicateValues" dxfId="204" priority="19"/>
    <cfRule type="duplicateValues" dxfId="203" priority="18"/>
    <cfRule type="duplicateValues" dxfId="202" priority="22"/>
  </conditionalFormatting>
  <conditionalFormatting sqref="D434">
    <cfRule type="duplicateValues" dxfId="201" priority="17"/>
    <cfRule type="duplicateValues" dxfId="200" priority="16"/>
    <cfRule type="duplicateValues" dxfId="199" priority="15"/>
  </conditionalFormatting>
  <conditionalFormatting sqref="D435">
    <cfRule type="duplicateValues" dxfId="198" priority="14"/>
    <cfRule type="duplicateValues" dxfId="197" priority="13"/>
    <cfRule type="duplicateValues" dxfId="196" priority="11"/>
    <cfRule type="duplicateValues" dxfId="195" priority="10"/>
    <cfRule type="duplicateValues" dxfId="194" priority="12"/>
  </conditionalFormatting>
  <conditionalFormatting sqref="D456">
    <cfRule type="duplicateValues" dxfId="193" priority="9"/>
    <cfRule type="duplicateValues" dxfId="192" priority="8"/>
    <cfRule type="duplicateValues" dxfId="191" priority="6"/>
    <cfRule type="duplicateValues" dxfId="190" priority="7"/>
  </conditionalFormatting>
  <conditionalFormatting sqref="E94">
    <cfRule type="duplicateValues" dxfId="189" priority="3"/>
    <cfRule type="duplicateValues" dxfId="188" priority="1"/>
    <cfRule type="duplicateValues" dxfId="187" priority="5"/>
    <cfRule type="duplicateValues" dxfId="186" priority="4"/>
    <cfRule type="duplicateValues" dxfId="185" priority="2"/>
  </conditionalFormatting>
  <pageMargins left="0.7" right="0.7" top="0.75" bottom="0.75" header="0.3" footer="0.3"/>
  <pageSetup paperSize="2833" orientation="portrait" horizontalDpi="180" verticalDpi="18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FC80-6E2B-4B11-81FD-723BD247C961}">
  <dimension ref="B1:H96"/>
  <sheetViews>
    <sheetView workbookViewId="0">
      <selection activeCell="K17" sqref="K17"/>
    </sheetView>
  </sheetViews>
  <sheetFormatPr defaultRowHeight="14.5"/>
  <cols>
    <col min="2" max="2" width="11.81640625" bestFit="1" customWidth="1"/>
    <col min="3" max="3" width="40.08984375" bestFit="1" customWidth="1"/>
    <col min="4" max="4" width="3.81640625" bestFit="1" customWidth="1"/>
    <col min="6" max="6" width="14.08984375" customWidth="1"/>
    <col min="7" max="7" width="27.90625" bestFit="1" customWidth="1"/>
    <col min="8" max="8" width="3.81640625" bestFit="1" customWidth="1"/>
  </cols>
  <sheetData>
    <row r="1" spans="2:8">
      <c r="C1" t="s">
        <v>1177</v>
      </c>
    </row>
    <row r="3" spans="2:8">
      <c r="B3" t="s">
        <v>4</v>
      </c>
      <c r="C3" t="s">
        <v>1178</v>
      </c>
      <c r="F3" t="s">
        <v>4</v>
      </c>
      <c r="G3" t="s">
        <v>1179</v>
      </c>
    </row>
    <row r="4" spans="2:8">
      <c r="B4">
        <v>100016</v>
      </c>
      <c r="C4" t="s">
        <v>1180</v>
      </c>
      <c r="D4">
        <v>129</v>
      </c>
      <c r="F4">
        <v>100016</v>
      </c>
      <c r="G4" t="s">
        <v>1181</v>
      </c>
      <c r="H4">
        <v>528</v>
      </c>
    </row>
    <row r="5" spans="2:8">
      <c r="B5">
        <v>100041</v>
      </c>
      <c r="C5" t="s">
        <v>1182</v>
      </c>
      <c r="D5">
        <v>66</v>
      </c>
      <c r="F5">
        <v>100037</v>
      </c>
      <c r="G5" t="s">
        <v>1183</v>
      </c>
      <c r="H5">
        <v>47</v>
      </c>
    </row>
    <row r="6" spans="2:8">
      <c r="B6">
        <v>100011</v>
      </c>
      <c r="C6" t="s">
        <v>1184</v>
      </c>
      <c r="D6">
        <v>32</v>
      </c>
      <c r="F6">
        <v>100031</v>
      </c>
      <c r="G6" t="s">
        <v>1185</v>
      </c>
      <c r="H6">
        <v>72</v>
      </c>
    </row>
    <row r="7" spans="2:8">
      <c r="B7">
        <v>100043</v>
      </c>
      <c r="C7" t="s">
        <v>1186</v>
      </c>
      <c r="D7">
        <v>15</v>
      </c>
      <c r="F7">
        <v>988100688</v>
      </c>
      <c r="G7" t="s">
        <v>1187</v>
      </c>
      <c r="H7">
        <v>10</v>
      </c>
    </row>
    <row r="8" spans="2:8">
      <c r="B8">
        <v>988100449</v>
      </c>
      <c r="C8" t="s">
        <v>1188</v>
      </c>
      <c r="D8">
        <v>25</v>
      </c>
      <c r="F8">
        <v>988100689</v>
      </c>
      <c r="G8" t="s">
        <v>1189</v>
      </c>
      <c r="H8">
        <v>10</v>
      </c>
    </row>
    <row r="9" spans="2:8">
      <c r="B9">
        <v>100033</v>
      </c>
      <c r="C9" t="s">
        <v>1190</v>
      </c>
      <c r="D9">
        <v>14</v>
      </c>
      <c r="G9" t="s">
        <v>1191</v>
      </c>
      <c r="H9">
        <v>20</v>
      </c>
    </row>
    <row r="10" spans="2:8">
      <c r="B10">
        <v>988100021</v>
      </c>
      <c r="C10" t="s">
        <v>1192</v>
      </c>
      <c r="D10">
        <v>4</v>
      </c>
      <c r="G10" t="s">
        <v>1193</v>
      </c>
      <c r="H10">
        <v>20</v>
      </c>
    </row>
    <row r="11" spans="2:8">
      <c r="B11">
        <v>100032</v>
      </c>
      <c r="C11" t="s">
        <v>1194</v>
      </c>
      <c r="D11">
        <v>26</v>
      </c>
      <c r="F11">
        <v>988100572</v>
      </c>
      <c r="G11" t="s">
        <v>1195</v>
      </c>
      <c r="H11">
        <v>40</v>
      </c>
    </row>
    <row r="12" spans="2:8">
      <c r="B12">
        <v>8992388145812</v>
      </c>
      <c r="C12" t="s">
        <v>1196</v>
      </c>
      <c r="D12">
        <v>32</v>
      </c>
      <c r="F12">
        <v>988100569</v>
      </c>
      <c r="G12" t="s">
        <v>1197</v>
      </c>
      <c r="H12">
        <v>20</v>
      </c>
    </row>
    <row r="13" spans="2:8">
      <c r="B13">
        <v>988100025</v>
      </c>
      <c r="C13" t="s">
        <v>1198</v>
      </c>
      <c r="D13">
        <v>22</v>
      </c>
      <c r="F13">
        <v>200004</v>
      </c>
      <c r="G13" t="s">
        <v>1199</v>
      </c>
      <c r="H13">
        <v>11</v>
      </c>
    </row>
    <row r="14" spans="2:8">
      <c r="B14">
        <v>988100024</v>
      </c>
      <c r="C14" t="s">
        <v>1200</v>
      </c>
      <c r="D14">
        <v>24</v>
      </c>
      <c r="F14">
        <v>988100456</v>
      </c>
      <c r="G14" t="s">
        <v>1201</v>
      </c>
      <c r="H14">
        <v>9</v>
      </c>
    </row>
    <row r="15" spans="2:8">
      <c r="B15">
        <v>988100747</v>
      </c>
      <c r="C15" t="s">
        <v>1202</v>
      </c>
      <c r="D15">
        <v>24</v>
      </c>
      <c r="G15" t="s">
        <v>1203</v>
      </c>
      <c r="H15">
        <v>20</v>
      </c>
    </row>
    <row r="16" spans="2:8">
      <c r="B16">
        <v>988100460</v>
      </c>
      <c r="C16" t="s">
        <v>1204</v>
      </c>
      <c r="D16">
        <v>26</v>
      </c>
      <c r="F16">
        <v>988100691</v>
      </c>
      <c r="G16" t="s">
        <v>1205</v>
      </c>
      <c r="H16">
        <v>20</v>
      </c>
    </row>
    <row r="17" spans="2:8">
      <c r="B17">
        <v>988100597</v>
      </c>
      <c r="C17" t="s">
        <v>1206</v>
      </c>
      <c r="D17">
        <v>30</v>
      </c>
      <c r="G17" t="s">
        <v>1207</v>
      </c>
      <c r="H17">
        <v>30</v>
      </c>
    </row>
    <row r="18" spans="2:8">
      <c r="B18">
        <v>100050</v>
      </c>
      <c r="C18" t="s">
        <v>1208</v>
      </c>
      <c r="D18">
        <v>20</v>
      </c>
      <c r="G18" t="s">
        <v>1209</v>
      </c>
      <c r="H18">
        <v>30</v>
      </c>
    </row>
    <row r="19" spans="2:8">
      <c r="B19">
        <v>100052</v>
      </c>
      <c r="C19" t="s">
        <v>1210</v>
      </c>
      <c r="D19">
        <v>6</v>
      </c>
      <c r="F19">
        <v>988100566</v>
      </c>
      <c r="G19" t="s">
        <v>1211</v>
      </c>
      <c r="H19">
        <v>101</v>
      </c>
    </row>
    <row r="20" spans="2:8">
      <c r="B20">
        <v>100048</v>
      </c>
      <c r="C20" t="s">
        <v>1212</v>
      </c>
      <c r="D20">
        <v>20</v>
      </c>
      <c r="F20" s="189">
        <v>8993053131017</v>
      </c>
      <c r="G20" t="s">
        <v>1213</v>
      </c>
      <c r="H20">
        <v>10</v>
      </c>
    </row>
    <row r="21" spans="2:8">
      <c r="B21">
        <v>100053</v>
      </c>
      <c r="C21" t="s">
        <v>1214</v>
      </c>
      <c r="D21">
        <v>33</v>
      </c>
      <c r="F21">
        <v>990117</v>
      </c>
      <c r="G21" t="s">
        <v>1215</v>
      </c>
      <c r="H21">
        <v>24</v>
      </c>
    </row>
    <row r="22" spans="2:8">
      <c r="B22">
        <v>988100674</v>
      </c>
      <c r="C22" t="s">
        <v>1216</v>
      </c>
      <c r="D22">
        <v>3</v>
      </c>
      <c r="F22">
        <v>990116</v>
      </c>
      <c r="G22" t="s">
        <v>1217</v>
      </c>
      <c r="H22">
        <v>42</v>
      </c>
    </row>
    <row r="23" spans="2:8">
      <c r="B23">
        <v>988100703</v>
      </c>
      <c r="C23" t="s">
        <v>1218</v>
      </c>
      <c r="D23">
        <v>6</v>
      </c>
      <c r="F23">
        <v>990117</v>
      </c>
      <c r="G23" t="s">
        <v>1219</v>
      </c>
      <c r="H23">
        <v>18</v>
      </c>
    </row>
    <row r="24" spans="2:8">
      <c r="C24" t="s">
        <v>1220</v>
      </c>
      <c r="D24">
        <v>17</v>
      </c>
      <c r="F24">
        <v>988100668</v>
      </c>
      <c r="G24" t="s">
        <v>1221</v>
      </c>
      <c r="H24">
        <v>30</v>
      </c>
    </row>
    <row r="25" spans="2:8">
      <c r="B25">
        <v>988100748</v>
      </c>
      <c r="C25" t="s">
        <v>1222</v>
      </c>
      <c r="D25">
        <v>1</v>
      </c>
      <c r="F25">
        <v>990115</v>
      </c>
      <c r="G25" t="s">
        <v>1223</v>
      </c>
      <c r="H25">
        <v>48</v>
      </c>
    </row>
    <row r="26" spans="2:8">
      <c r="B26">
        <v>988100675</v>
      </c>
      <c r="C26" t="s">
        <v>1224</v>
      </c>
      <c r="D26">
        <v>1</v>
      </c>
      <c r="F26">
        <v>988100661</v>
      </c>
      <c r="G26" t="s">
        <v>1225</v>
      </c>
      <c r="H26">
        <v>55</v>
      </c>
    </row>
    <row r="27" spans="2:8">
      <c r="B27">
        <v>100034</v>
      </c>
      <c r="C27" t="s">
        <v>1226</v>
      </c>
      <c r="D27">
        <v>41</v>
      </c>
      <c r="F27">
        <v>988100570</v>
      </c>
      <c r="G27" t="s">
        <v>1227</v>
      </c>
      <c r="H27">
        <v>32</v>
      </c>
    </row>
    <row r="28" spans="2:8">
      <c r="B28">
        <v>100030</v>
      </c>
      <c r="C28" t="s">
        <v>1228</v>
      </c>
      <c r="D28">
        <v>49</v>
      </c>
      <c r="F28">
        <v>988100124</v>
      </c>
      <c r="G28" t="s">
        <v>1229</v>
      </c>
      <c r="H28">
        <v>53</v>
      </c>
    </row>
    <row r="29" spans="2:8">
      <c r="B29">
        <v>100037</v>
      </c>
      <c r="C29" t="s">
        <v>1230</v>
      </c>
      <c r="D29">
        <v>24</v>
      </c>
      <c r="F29">
        <v>988100068</v>
      </c>
      <c r="G29" t="s">
        <v>1231</v>
      </c>
      <c r="H29">
        <v>38</v>
      </c>
    </row>
    <row r="30" spans="2:8">
      <c r="B30">
        <v>100031</v>
      </c>
      <c r="C30" t="s">
        <v>1232</v>
      </c>
      <c r="D30">
        <v>23</v>
      </c>
      <c r="F30">
        <v>988100088</v>
      </c>
      <c r="G30" t="s">
        <v>1233</v>
      </c>
      <c r="H30">
        <v>26</v>
      </c>
    </row>
    <row r="31" spans="2:8">
      <c r="B31">
        <v>988100630</v>
      </c>
      <c r="C31" t="s">
        <v>1234</v>
      </c>
      <c r="D31">
        <v>21</v>
      </c>
      <c r="F31">
        <v>988100088</v>
      </c>
      <c r="G31" t="s">
        <v>1235</v>
      </c>
      <c r="H31">
        <v>74</v>
      </c>
    </row>
    <row r="32" spans="2:8">
      <c r="B32">
        <v>988100026</v>
      </c>
      <c r="C32" t="s">
        <v>1236</v>
      </c>
      <c r="D32">
        <v>23</v>
      </c>
      <c r="F32">
        <v>988100066</v>
      </c>
      <c r="G32" t="s">
        <v>1237</v>
      </c>
      <c r="H32">
        <v>121</v>
      </c>
    </row>
    <row r="33" spans="2:4">
      <c r="B33">
        <v>988100569</v>
      </c>
      <c r="C33" t="s">
        <v>1197</v>
      </c>
      <c r="D33">
        <v>64</v>
      </c>
    </row>
    <row r="34" spans="2:4">
      <c r="B34">
        <v>988100571</v>
      </c>
      <c r="C34" t="s">
        <v>1238</v>
      </c>
      <c r="D34">
        <v>33</v>
      </c>
    </row>
    <row r="35" spans="2:4">
      <c r="B35">
        <v>988100572</v>
      </c>
      <c r="C35" t="s">
        <v>1195</v>
      </c>
      <c r="D35">
        <v>38</v>
      </c>
    </row>
    <row r="36" spans="2:4">
      <c r="B36">
        <v>988100613</v>
      </c>
      <c r="C36" t="s">
        <v>1239</v>
      </c>
      <c r="D36">
        <v>58</v>
      </c>
    </row>
    <row r="37" spans="2:4">
      <c r="B37">
        <v>988100610</v>
      </c>
      <c r="C37" t="s">
        <v>1240</v>
      </c>
      <c r="D37">
        <v>42</v>
      </c>
    </row>
    <row r="38" spans="2:4">
      <c r="B38">
        <v>988100566</v>
      </c>
      <c r="C38" t="s">
        <v>1211</v>
      </c>
      <c r="D38">
        <v>56</v>
      </c>
    </row>
    <row r="39" spans="2:4">
      <c r="C39" t="s">
        <v>1241</v>
      </c>
      <c r="D39">
        <v>59</v>
      </c>
    </row>
    <row r="40" spans="2:4">
      <c r="B40">
        <v>988100611</v>
      </c>
      <c r="C40" t="s">
        <v>1242</v>
      </c>
      <c r="D40">
        <v>15</v>
      </c>
    </row>
    <row r="41" spans="2:4">
      <c r="B41">
        <v>988100663</v>
      </c>
      <c r="C41" t="s">
        <v>1243</v>
      </c>
      <c r="D41">
        <v>45</v>
      </c>
    </row>
    <row r="42" spans="2:4">
      <c r="B42">
        <v>988100456</v>
      </c>
      <c r="C42" t="s">
        <v>1201</v>
      </c>
      <c r="D42">
        <v>21</v>
      </c>
    </row>
    <row r="43" spans="2:4">
      <c r="B43">
        <v>200004</v>
      </c>
      <c r="C43" t="s">
        <v>1199</v>
      </c>
      <c r="D43">
        <v>54</v>
      </c>
    </row>
    <row r="44" spans="2:4">
      <c r="B44">
        <v>988100132</v>
      </c>
      <c r="C44" t="s">
        <v>1244</v>
      </c>
      <c r="D44">
        <v>35</v>
      </c>
    </row>
    <row r="45" spans="2:4">
      <c r="B45">
        <v>988100455</v>
      </c>
      <c r="C45" t="s">
        <v>1245</v>
      </c>
      <c r="D45">
        <v>38</v>
      </c>
    </row>
    <row r="46" spans="2:4">
      <c r="B46">
        <v>988100706</v>
      </c>
      <c r="C46" t="s">
        <v>1246</v>
      </c>
      <c r="D46">
        <v>17</v>
      </c>
    </row>
    <row r="47" spans="2:4">
      <c r="B47">
        <v>988100464</v>
      </c>
      <c r="C47" t="s">
        <v>1247</v>
      </c>
      <c r="D47">
        <v>31</v>
      </c>
    </row>
    <row r="48" spans="2:4">
      <c r="B48">
        <v>988100040</v>
      </c>
      <c r="C48" t="s">
        <v>1248</v>
      </c>
      <c r="D48">
        <v>30</v>
      </c>
    </row>
    <row r="49" spans="2:4">
      <c r="B49">
        <v>988100137</v>
      </c>
      <c r="C49" t="s">
        <v>1249</v>
      </c>
      <c r="D49">
        <v>17</v>
      </c>
    </row>
    <row r="50" spans="2:4">
      <c r="B50">
        <v>988100100</v>
      </c>
      <c r="C50" t="s">
        <v>1250</v>
      </c>
      <c r="D50">
        <v>18</v>
      </c>
    </row>
    <row r="51" spans="2:4">
      <c r="B51">
        <v>988100426</v>
      </c>
      <c r="C51" t="s">
        <v>1251</v>
      </c>
      <c r="D51">
        <v>19</v>
      </c>
    </row>
    <row r="52" spans="2:4">
      <c r="B52">
        <v>300046</v>
      </c>
      <c r="C52" t="s">
        <v>1252</v>
      </c>
      <c r="D52">
        <v>13</v>
      </c>
    </row>
    <row r="53" spans="2:4">
      <c r="B53">
        <v>988100537</v>
      </c>
      <c r="C53" t="s">
        <v>1253</v>
      </c>
      <c r="D53">
        <v>18</v>
      </c>
    </row>
    <row r="54" spans="2:4">
      <c r="B54">
        <v>988100468</v>
      </c>
      <c r="C54" t="s">
        <v>1254</v>
      </c>
      <c r="D54">
        <v>18</v>
      </c>
    </row>
    <row r="55" spans="2:4">
      <c r="B55">
        <v>988100667</v>
      </c>
      <c r="C55" t="s">
        <v>1255</v>
      </c>
      <c r="D55">
        <v>26</v>
      </c>
    </row>
    <row r="56" spans="2:4">
      <c r="B56">
        <v>200289</v>
      </c>
      <c r="C56" t="s">
        <v>1256</v>
      </c>
      <c r="D56">
        <v>13</v>
      </c>
    </row>
    <row r="57" spans="2:4">
      <c r="B57">
        <v>200291</v>
      </c>
      <c r="C57" t="s">
        <v>1257</v>
      </c>
      <c r="D57">
        <v>16</v>
      </c>
    </row>
    <row r="58" spans="2:4">
      <c r="B58">
        <v>200292</v>
      </c>
      <c r="C58" t="s">
        <v>1258</v>
      </c>
      <c r="D58">
        <v>4</v>
      </c>
    </row>
    <row r="59" spans="2:4">
      <c r="C59" t="s">
        <v>1203</v>
      </c>
      <c r="D59">
        <v>17</v>
      </c>
    </row>
    <row r="60" spans="2:4">
      <c r="B60">
        <v>988100688</v>
      </c>
      <c r="C60" t="s">
        <v>1187</v>
      </c>
      <c r="D60">
        <v>29</v>
      </c>
    </row>
    <row r="61" spans="2:4">
      <c r="B61">
        <v>988100691</v>
      </c>
      <c r="C61" t="s">
        <v>1259</v>
      </c>
      <c r="D61">
        <v>19</v>
      </c>
    </row>
    <row r="62" spans="2:4">
      <c r="B62">
        <v>988100689</v>
      </c>
      <c r="C62" t="s">
        <v>1189</v>
      </c>
      <c r="D62">
        <v>17</v>
      </c>
    </row>
    <row r="63" spans="2:4">
      <c r="B63">
        <v>988100669</v>
      </c>
      <c r="C63" t="s">
        <v>1260</v>
      </c>
      <c r="D63">
        <v>3</v>
      </c>
    </row>
    <row r="64" spans="2:4">
      <c r="B64">
        <v>988100486</v>
      </c>
      <c r="C64" t="s">
        <v>1261</v>
      </c>
      <c r="D64">
        <v>23</v>
      </c>
    </row>
    <row r="65" spans="2:4">
      <c r="B65">
        <v>988100660</v>
      </c>
      <c r="C65" t="s">
        <v>1262</v>
      </c>
      <c r="D65">
        <v>40</v>
      </c>
    </row>
    <row r="66" spans="2:4">
      <c r="B66">
        <v>988100737</v>
      </c>
      <c r="C66" t="s">
        <v>1263</v>
      </c>
      <c r="D66">
        <v>8</v>
      </c>
    </row>
    <row r="67" spans="2:4">
      <c r="B67">
        <v>988100696</v>
      </c>
      <c r="C67" t="s">
        <v>1264</v>
      </c>
      <c r="D67">
        <v>12</v>
      </c>
    </row>
    <row r="68" spans="2:4">
      <c r="B68">
        <v>988100699</v>
      </c>
      <c r="C68" t="s">
        <v>1265</v>
      </c>
      <c r="D68">
        <v>6</v>
      </c>
    </row>
    <row r="69" spans="2:4">
      <c r="B69">
        <v>988100698</v>
      </c>
      <c r="C69" t="s">
        <v>1266</v>
      </c>
      <c r="D69">
        <v>7</v>
      </c>
    </row>
    <row r="70" spans="2:4">
      <c r="B70">
        <v>988100694</v>
      </c>
      <c r="C70" t="s">
        <v>1267</v>
      </c>
      <c r="D70">
        <v>13</v>
      </c>
    </row>
    <row r="71" spans="2:4">
      <c r="B71">
        <v>988100469</v>
      </c>
      <c r="C71" t="s">
        <v>1268</v>
      </c>
      <c r="D71">
        <v>11</v>
      </c>
    </row>
    <row r="72" spans="2:4">
      <c r="B72">
        <v>988100485</v>
      </c>
      <c r="C72" t="s">
        <v>1269</v>
      </c>
      <c r="D72">
        <v>13</v>
      </c>
    </row>
    <row r="73" spans="2:4">
      <c r="B73">
        <v>988100601</v>
      </c>
      <c r="C73" t="s">
        <v>1270</v>
      </c>
      <c r="D73">
        <v>47</v>
      </c>
    </row>
    <row r="74" spans="2:4">
      <c r="B74">
        <v>988100727</v>
      </c>
      <c r="C74" t="s">
        <v>1271</v>
      </c>
      <c r="D74">
        <v>2</v>
      </c>
    </row>
    <row r="75" spans="2:4">
      <c r="B75">
        <v>988100602</v>
      </c>
      <c r="C75" t="s">
        <v>1272</v>
      </c>
      <c r="D75">
        <v>10</v>
      </c>
    </row>
    <row r="76" spans="2:4">
      <c r="B76" t="s">
        <v>308</v>
      </c>
      <c r="C76" t="s">
        <v>1273</v>
      </c>
      <c r="D76">
        <v>3</v>
      </c>
    </row>
    <row r="77" spans="2:4">
      <c r="B77">
        <v>988100605</v>
      </c>
      <c r="C77" t="s">
        <v>1274</v>
      </c>
      <c r="D77">
        <v>1</v>
      </c>
    </row>
    <row r="78" spans="2:4">
      <c r="B78">
        <v>990097</v>
      </c>
      <c r="C78" t="s">
        <v>1275</v>
      </c>
      <c r="D78">
        <v>2</v>
      </c>
    </row>
    <row r="79" spans="2:4">
      <c r="B79">
        <v>8993053131017</v>
      </c>
      <c r="C79" t="s">
        <v>1276</v>
      </c>
      <c r="D79">
        <v>55</v>
      </c>
    </row>
    <row r="80" spans="2:4">
      <c r="B80">
        <v>990004</v>
      </c>
      <c r="C80" t="s">
        <v>1277</v>
      </c>
      <c r="D80">
        <v>34</v>
      </c>
    </row>
    <row r="81" spans="2:4">
      <c r="C81" t="s">
        <v>1278</v>
      </c>
      <c r="D81">
        <v>34</v>
      </c>
    </row>
    <row r="82" spans="2:4">
      <c r="B82">
        <v>990117</v>
      </c>
      <c r="C82" t="s">
        <v>1215</v>
      </c>
      <c r="D82">
        <v>4</v>
      </c>
    </row>
    <row r="83" spans="2:4">
      <c r="B83">
        <v>990117</v>
      </c>
      <c r="C83" t="s">
        <v>1279</v>
      </c>
      <c r="D83">
        <v>4</v>
      </c>
    </row>
    <row r="84" spans="2:4">
      <c r="B84">
        <v>988100661</v>
      </c>
      <c r="C84" t="s">
        <v>1225</v>
      </c>
      <c r="D84">
        <v>5</v>
      </c>
    </row>
    <row r="85" spans="2:4">
      <c r="B85">
        <v>990116</v>
      </c>
      <c r="C85" t="s">
        <v>1217</v>
      </c>
      <c r="D85">
        <v>5</v>
      </c>
    </row>
    <row r="86" spans="2:4">
      <c r="B86">
        <v>988100668</v>
      </c>
      <c r="C86" t="s">
        <v>1221</v>
      </c>
      <c r="D86">
        <v>5</v>
      </c>
    </row>
    <row r="87" spans="2:4">
      <c r="B87">
        <v>990115</v>
      </c>
      <c r="C87" t="s">
        <v>1223</v>
      </c>
      <c r="D87">
        <v>5</v>
      </c>
    </row>
    <row r="88" spans="2:4">
      <c r="B88">
        <v>988100570</v>
      </c>
      <c r="C88" t="s">
        <v>1227</v>
      </c>
      <c r="D88">
        <v>4</v>
      </c>
    </row>
    <row r="89" spans="2:4">
      <c r="B89">
        <v>988100124</v>
      </c>
      <c r="C89" t="s">
        <v>1229</v>
      </c>
      <c r="D89">
        <v>9</v>
      </c>
    </row>
    <row r="90" spans="2:4">
      <c r="B90">
        <v>988100068</v>
      </c>
      <c r="C90" t="s">
        <v>1231</v>
      </c>
      <c r="D90">
        <v>6</v>
      </c>
    </row>
    <row r="91" spans="2:4">
      <c r="B91">
        <v>988100088</v>
      </c>
      <c r="C91" t="s">
        <v>1233</v>
      </c>
      <c r="D91">
        <v>3</v>
      </c>
    </row>
    <row r="92" spans="2:4">
      <c r="B92">
        <v>988100088</v>
      </c>
      <c r="C92" t="s">
        <v>1235</v>
      </c>
      <c r="D92">
        <v>5</v>
      </c>
    </row>
    <row r="93" spans="2:4">
      <c r="B93">
        <v>988100066</v>
      </c>
      <c r="C93" t="s">
        <v>1237</v>
      </c>
      <c r="D93">
        <v>3</v>
      </c>
    </row>
    <row r="94" spans="2:4">
      <c r="B94">
        <v>910057</v>
      </c>
      <c r="C94" t="s">
        <v>1280</v>
      </c>
      <c r="D94">
        <v>2</v>
      </c>
    </row>
    <row r="95" spans="2:4">
      <c r="B95">
        <v>910055</v>
      </c>
      <c r="C95" t="s">
        <v>1281</v>
      </c>
      <c r="D95">
        <v>3</v>
      </c>
    </row>
    <row r="96" spans="2:4">
      <c r="B96">
        <v>988100487</v>
      </c>
      <c r="C96" t="s">
        <v>1282</v>
      </c>
      <c r="D9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BDA3-7750-41DC-9D95-BED1587D03CA}">
  <dimension ref="A1:F254"/>
  <sheetViews>
    <sheetView zoomScale="98" zoomScaleNormal="98" workbookViewId="0">
      <selection activeCell="I14" sqref="I14"/>
    </sheetView>
  </sheetViews>
  <sheetFormatPr defaultRowHeight="14.5"/>
  <cols>
    <col min="1" max="1" width="16.7265625" style="206" customWidth="1"/>
    <col min="2" max="2" width="14.54296875" style="206" customWidth="1"/>
    <col min="3" max="3" width="17.453125" style="206" customWidth="1"/>
    <col min="4" max="4" width="50.7265625" style="206" customWidth="1"/>
    <col min="5" max="5" width="23.7265625" style="206" customWidth="1"/>
    <col min="6" max="6" width="15.1796875" style="206" customWidth="1"/>
    <col min="7" max="16384" width="8.7265625" style="206"/>
  </cols>
  <sheetData>
    <row r="1" spans="1:6">
      <c r="A1" s="205" t="s">
        <v>0</v>
      </c>
      <c r="B1" s="205" t="s">
        <v>1</v>
      </c>
      <c r="C1" s="205" t="s">
        <v>2</v>
      </c>
      <c r="D1" s="205" t="s">
        <v>3</v>
      </c>
      <c r="E1" s="205" t="s">
        <v>4</v>
      </c>
      <c r="F1" s="205" t="s">
        <v>793</v>
      </c>
    </row>
    <row r="2" spans="1:6">
      <c r="A2" s="207" t="s">
        <v>6</v>
      </c>
      <c r="B2" s="207" t="s">
        <v>7</v>
      </c>
      <c r="C2" s="207">
        <v>100016</v>
      </c>
      <c r="D2" s="207" t="s">
        <v>8</v>
      </c>
      <c r="E2" s="207">
        <v>8996006852045</v>
      </c>
      <c r="F2" s="207">
        <v>329</v>
      </c>
    </row>
    <row r="3" spans="1:6">
      <c r="A3" s="207" t="s">
        <v>6</v>
      </c>
      <c r="B3" s="207" t="s">
        <v>7</v>
      </c>
      <c r="C3" s="207">
        <v>100032</v>
      </c>
      <c r="D3" s="207" t="s">
        <v>9</v>
      </c>
      <c r="E3" s="207">
        <v>8992388101023</v>
      </c>
      <c r="F3" s="207">
        <v>0</v>
      </c>
    </row>
    <row r="4" spans="1:6">
      <c r="A4" s="207" t="s">
        <v>6</v>
      </c>
      <c r="B4" s="207" t="s">
        <v>7</v>
      </c>
      <c r="C4" s="207">
        <v>100033</v>
      </c>
      <c r="D4" s="207" t="s">
        <v>10</v>
      </c>
      <c r="E4" s="207">
        <v>8992388101016</v>
      </c>
      <c r="F4" s="207">
        <v>0</v>
      </c>
    </row>
    <row r="5" spans="1:6">
      <c r="A5" s="207" t="s">
        <v>6</v>
      </c>
      <c r="B5" s="207" t="s">
        <v>7</v>
      </c>
      <c r="C5" s="207">
        <v>988100021</v>
      </c>
      <c r="D5" s="207" t="s">
        <v>11</v>
      </c>
      <c r="E5" s="207">
        <v>8992388101054</v>
      </c>
      <c r="F5" s="207">
        <v>9</v>
      </c>
    </row>
    <row r="6" spans="1:6">
      <c r="A6" s="207" t="s">
        <v>6</v>
      </c>
      <c r="B6" s="207" t="s">
        <v>7</v>
      </c>
      <c r="C6" s="207">
        <v>988100024</v>
      </c>
      <c r="D6" s="207" t="s">
        <v>12</v>
      </c>
      <c r="E6" s="207">
        <v>8992388133017</v>
      </c>
      <c r="F6" s="207">
        <v>16</v>
      </c>
    </row>
    <row r="7" spans="1:6">
      <c r="A7" s="207" t="s">
        <v>6</v>
      </c>
      <c r="B7" s="207" t="s">
        <v>7</v>
      </c>
      <c r="C7" s="207">
        <v>988100025</v>
      </c>
      <c r="D7" s="207" t="s">
        <v>13</v>
      </c>
      <c r="E7" s="207">
        <v>8992388133345</v>
      </c>
      <c r="F7" s="207">
        <v>22</v>
      </c>
    </row>
    <row r="8" spans="1:6">
      <c r="A8" s="207" t="s">
        <v>6</v>
      </c>
      <c r="B8" s="207" t="s">
        <v>7</v>
      </c>
      <c r="C8" s="207">
        <v>988100460</v>
      </c>
      <c r="D8" s="207" t="s">
        <v>14</v>
      </c>
      <c r="E8" s="207">
        <v>8992388145027</v>
      </c>
      <c r="F8" s="207">
        <v>1</v>
      </c>
    </row>
    <row r="9" spans="1:6">
      <c r="A9" s="207" t="s">
        <v>6</v>
      </c>
      <c r="B9" s="207" t="s">
        <v>7</v>
      </c>
      <c r="C9" s="207">
        <v>100050</v>
      </c>
      <c r="D9" s="207" t="s">
        <v>15</v>
      </c>
      <c r="E9" s="207">
        <v>8996006853387</v>
      </c>
      <c r="F9" s="207">
        <v>25</v>
      </c>
    </row>
    <row r="10" spans="1:6">
      <c r="A10" s="207" t="s">
        <v>6</v>
      </c>
      <c r="B10" s="207" t="s">
        <v>7</v>
      </c>
      <c r="C10" s="207">
        <v>100052</v>
      </c>
      <c r="D10" s="207" t="s">
        <v>16</v>
      </c>
      <c r="E10" s="207">
        <v>8996006853394</v>
      </c>
      <c r="F10" s="207">
        <v>0</v>
      </c>
    </row>
    <row r="11" spans="1:6">
      <c r="A11" s="207" t="s">
        <v>6</v>
      </c>
      <c r="B11" s="207" t="s">
        <v>7</v>
      </c>
      <c r="C11" s="207">
        <v>100080</v>
      </c>
      <c r="D11" s="207" t="s">
        <v>17</v>
      </c>
      <c r="E11" s="207">
        <v>8992858527308</v>
      </c>
      <c r="F11" s="207">
        <v>0</v>
      </c>
    </row>
    <row r="12" spans="1:6">
      <c r="A12" s="207" t="s">
        <v>6</v>
      </c>
      <c r="B12" s="207" t="s">
        <v>7</v>
      </c>
      <c r="C12" s="207">
        <v>100011</v>
      </c>
      <c r="D12" s="207" t="s">
        <v>594</v>
      </c>
      <c r="E12" s="207">
        <v>8996006855145</v>
      </c>
      <c r="F12" s="207">
        <v>10</v>
      </c>
    </row>
    <row r="13" spans="1:6">
      <c r="A13" s="207" t="s">
        <v>6</v>
      </c>
      <c r="B13" s="207" t="s">
        <v>7</v>
      </c>
      <c r="C13" s="207">
        <v>100048</v>
      </c>
      <c r="D13" s="207" t="s">
        <v>19</v>
      </c>
      <c r="E13" s="207">
        <v>8996006853400</v>
      </c>
      <c r="F13" s="207">
        <v>27</v>
      </c>
    </row>
    <row r="14" spans="1:6">
      <c r="A14" s="207" t="s">
        <v>6</v>
      </c>
      <c r="B14" s="207" t="s">
        <v>7</v>
      </c>
      <c r="C14" s="207">
        <v>988100597</v>
      </c>
      <c r="D14" s="207" t="s">
        <v>794</v>
      </c>
      <c r="E14" s="207">
        <v>8992388145324</v>
      </c>
      <c r="F14" s="207">
        <v>14</v>
      </c>
    </row>
    <row r="15" spans="1:6">
      <c r="A15" s="207" t="s">
        <v>6</v>
      </c>
      <c r="B15" s="207" t="s">
        <v>7</v>
      </c>
      <c r="C15" s="207">
        <v>988100026</v>
      </c>
      <c r="D15" s="207" t="s">
        <v>21</v>
      </c>
      <c r="E15" s="207">
        <v>8992772586016</v>
      </c>
      <c r="F15" s="207">
        <v>0</v>
      </c>
    </row>
    <row r="16" spans="1:6">
      <c r="A16" s="207" t="s">
        <v>6</v>
      </c>
      <c r="B16" s="207" t="s">
        <v>7</v>
      </c>
      <c r="C16" s="207">
        <v>100038</v>
      </c>
      <c r="D16" s="207" t="s">
        <v>597</v>
      </c>
      <c r="E16" s="207">
        <v>8992761166038</v>
      </c>
      <c r="F16" s="207">
        <v>0</v>
      </c>
    </row>
    <row r="17" spans="1:6">
      <c r="A17" s="207" t="s">
        <v>6</v>
      </c>
      <c r="B17" s="207" t="s">
        <v>7</v>
      </c>
      <c r="C17" s="207">
        <v>100199</v>
      </c>
      <c r="D17" s="207" t="s">
        <v>605</v>
      </c>
      <c r="E17" s="207">
        <v>8992761002022</v>
      </c>
      <c r="F17" s="207">
        <v>0</v>
      </c>
    </row>
    <row r="18" spans="1:6">
      <c r="A18" s="207" t="s">
        <v>6</v>
      </c>
      <c r="B18" s="207" t="s">
        <v>7</v>
      </c>
      <c r="C18" s="207">
        <v>100201</v>
      </c>
      <c r="D18" s="207" t="s">
        <v>795</v>
      </c>
      <c r="E18" s="207">
        <v>8992761002039</v>
      </c>
      <c r="F18" s="207">
        <v>0</v>
      </c>
    </row>
    <row r="19" spans="1:6">
      <c r="A19" s="207" t="s">
        <v>6</v>
      </c>
      <c r="B19" s="207" t="s">
        <v>7</v>
      </c>
      <c r="C19" s="207">
        <v>988100644</v>
      </c>
      <c r="D19" s="207" t="s">
        <v>796</v>
      </c>
      <c r="E19" s="207">
        <v>5449000256898</v>
      </c>
      <c r="F19" s="207">
        <v>0</v>
      </c>
    </row>
    <row r="20" spans="1:6">
      <c r="A20" s="207" t="s">
        <v>6</v>
      </c>
      <c r="B20" s="207" t="s">
        <v>7</v>
      </c>
      <c r="C20" s="207">
        <v>988100645</v>
      </c>
      <c r="D20" s="207" t="s">
        <v>797</v>
      </c>
      <c r="E20" s="207">
        <v>8992761164546</v>
      </c>
      <c r="F20" s="207">
        <v>0</v>
      </c>
    </row>
    <row r="21" spans="1:6">
      <c r="A21" s="207" t="s">
        <v>6</v>
      </c>
      <c r="B21" s="207" t="s">
        <v>7</v>
      </c>
      <c r="C21" s="207">
        <v>988100646</v>
      </c>
      <c r="D21" s="207" t="s">
        <v>798</v>
      </c>
      <c r="E21" s="207">
        <v>8992761164539</v>
      </c>
      <c r="F21" s="207">
        <v>0</v>
      </c>
    </row>
    <row r="22" spans="1:6">
      <c r="A22" s="207" t="s">
        <v>6</v>
      </c>
      <c r="B22" s="207" t="s">
        <v>7</v>
      </c>
      <c r="C22" s="207">
        <v>988100647</v>
      </c>
      <c r="D22" s="207" t="s">
        <v>799</v>
      </c>
      <c r="E22" s="207">
        <v>8992761162205</v>
      </c>
      <c r="F22" s="207">
        <v>0</v>
      </c>
    </row>
    <row r="23" spans="1:6">
      <c r="A23" s="207" t="s">
        <v>6</v>
      </c>
      <c r="B23" s="207" t="s">
        <v>7</v>
      </c>
      <c r="C23" s="207">
        <v>988100648</v>
      </c>
      <c r="D23" s="207" t="s">
        <v>800</v>
      </c>
      <c r="E23" s="207">
        <v>899276166212</v>
      </c>
      <c r="F23" s="207">
        <v>0</v>
      </c>
    </row>
    <row r="24" spans="1:6">
      <c r="A24" s="207" t="s">
        <v>25</v>
      </c>
      <c r="B24" s="207" t="s">
        <v>7</v>
      </c>
      <c r="C24" s="207">
        <v>200024</v>
      </c>
      <c r="D24" s="207" t="s">
        <v>315</v>
      </c>
      <c r="E24" s="207">
        <v>8999999000066</v>
      </c>
      <c r="F24" s="207">
        <v>0</v>
      </c>
    </row>
    <row r="25" spans="1:6">
      <c r="A25" s="207" t="s">
        <v>25</v>
      </c>
      <c r="B25" s="207" t="s">
        <v>7</v>
      </c>
      <c r="C25" s="207">
        <v>200086</v>
      </c>
      <c r="D25" s="207" t="s">
        <v>317</v>
      </c>
      <c r="E25" s="207">
        <v>8999999000189</v>
      </c>
      <c r="F25" s="207">
        <v>0</v>
      </c>
    </row>
    <row r="26" spans="1:6">
      <c r="A26" s="207" t="s">
        <v>25</v>
      </c>
      <c r="B26" s="207" t="s">
        <v>7</v>
      </c>
      <c r="C26" s="207">
        <v>988100456</v>
      </c>
      <c r="D26" s="207" t="s">
        <v>26</v>
      </c>
      <c r="E26" s="207">
        <v>89686732016</v>
      </c>
      <c r="F26" s="207">
        <v>23</v>
      </c>
    </row>
    <row r="27" spans="1:6">
      <c r="A27" s="207" t="s">
        <v>25</v>
      </c>
      <c r="B27" s="207" t="s">
        <v>7</v>
      </c>
      <c r="C27" s="207">
        <v>200004</v>
      </c>
      <c r="D27" s="207" t="s">
        <v>328</v>
      </c>
      <c r="E27" s="207">
        <v>89686598025</v>
      </c>
      <c r="F27" s="207">
        <v>12</v>
      </c>
    </row>
    <row r="28" spans="1:6">
      <c r="A28" s="207" t="s">
        <v>25</v>
      </c>
      <c r="B28" s="207" t="s">
        <v>7</v>
      </c>
      <c r="C28" s="207">
        <v>200119</v>
      </c>
      <c r="D28" s="207" t="s">
        <v>516</v>
      </c>
      <c r="E28" s="207">
        <v>8997032680329</v>
      </c>
      <c r="F28" s="207">
        <v>0</v>
      </c>
    </row>
    <row r="29" spans="1:6">
      <c r="A29" s="207" t="s">
        <v>25</v>
      </c>
      <c r="B29" s="207" t="s">
        <v>7</v>
      </c>
      <c r="C29" s="207">
        <v>200201</v>
      </c>
      <c r="D29" s="207" t="s">
        <v>775</v>
      </c>
      <c r="E29" s="207">
        <v>8999999002497</v>
      </c>
      <c r="F29" s="207">
        <v>0</v>
      </c>
    </row>
    <row r="30" spans="1:6">
      <c r="A30" s="207" t="s">
        <v>25</v>
      </c>
      <c r="B30" s="207" t="s">
        <v>7</v>
      </c>
      <c r="C30" s="207">
        <v>988100566</v>
      </c>
      <c r="D30" s="207" t="s">
        <v>28</v>
      </c>
      <c r="E30" s="207">
        <v>89686604443</v>
      </c>
      <c r="F30" s="207">
        <v>82</v>
      </c>
    </row>
    <row r="31" spans="1:6">
      <c r="A31" s="207" t="s">
        <v>25</v>
      </c>
      <c r="B31" s="207" t="s">
        <v>7</v>
      </c>
      <c r="C31" s="207">
        <v>988100569</v>
      </c>
      <c r="D31" s="207" t="s">
        <v>29</v>
      </c>
      <c r="E31" s="207">
        <v>89686590098</v>
      </c>
      <c r="F31" s="207">
        <v>12</v>
      </c>
    </row>
    <row r="32" spans="1:6">
      <c r="A32" s="207" t="s">
        <v>25</v>
      </c>
      <c r="B32" s="207" t="s">
        <v>7</v>
      </c>
      <c r="C32" s="207">
        <v>988100572</v>
      </c>
      <c r="D32" s="207" t="s">
        <v>30</v>
      </c>
      <c r="E32" s="207">
        <v>89686591286</v>
      </c>
      <c r="F32" s="207">
        <v>65</v>
      </c>
    </row>
    <row r="33" spans="1:6">
      <c r="A33" s="207" t="s">
        <v>25</v>
      </c>
      <c r="B33" s="207" t="s">
        <v>7</v>
      </c>
      <c r="C33" s="207">
        <v>988100571</v>
      </c>
      <c r="D33" s="207" t="s">
        <v>31</v>
      </c>
      <c r="E33" s="207">
        <v>89686590197</v>
      </c>
      <c r="F33" s="207">
        <v>47</v>
      </c>
    </row>
    <row r="34" spans="1:6">
      <c r="A34" s="207" t="s">
        <v>25</v>
      </c>
      <c r="B34" s="207" t="s">
        <v>7</v>
      </c>
      <c r="C34" s="207">
        <v>988100613</v>
      </c>
      <c r="D34" s="207" t="s">
        <v>32</v>
      </c>
      <c r="E34" s="207">
        <v>89686723069</v>
      </c>
      <c r="F34" s="207">
        <v>64</v>
      </c>
    </row>
    <row r="35" spans="1:6">
      <c r="A35" s="207" t="s">
        <v>25</v>
      </c>
      <c r="B35" s="207" t="s">
        <v>7</v>
      </c>
      <c r="C35" s="207">
        <v>988100610</v>
      </c>
      <c r="D35" s="207" t="s">
        <v>33</v>
      </c>
      <c r="E35" s="207">
        <v>89686723083</v>
      </c>
      <c r="F35" s="207">
        <v>58</v>
      </c>
    </row>
    <row r="36" spans="1:6">
      <c r="A36" s="207" t="s">
        <v>25</v>
      </c>
      <c r="B36" s="207" t="s">
        <v>7</v>
      </c>
      <c r="C36" s="207">
        <v>988100614</v>
      </c>
      <c r="D36" s="207" t="s">
        <v>534</v>
      </c>
      <c r="E36" s="207">
        <v>8886013223207</v>
      </c>
      <c r="F36" s="207">
        <v>0</v>
      </c>
    </row>
    <row r="37" spans="1:6">
      <c r="A37" s="207" t="s">
        <v>25</v>
      </c>
      <c r="B37" s="207" t="s">
        <v>7</v>
      </c>
      <c r="C37" s="207">
        <v>988100637</v>
      </c>
      <c r="D37" s="207" t="s">
        <v>547</v>
      </c>
      <c r="E37" s="207">
        <v>655314503561</v>
      </c>
      <c r="F37" s="207">
        <v>0</v>
      </c>
    </row>
    <row r="38" spans="1:6">
      <c r="A38" s="207" t="s">
        <v>25</v>
      </c>
      <c r="B38" s="207" t="s">
        <v>7</v>
      </c>
      <c r="C38" s="207">
        <v>988100639</v>
      </c>
      <c r="D38" s="207" t="s">
        <v>550</v>
      </c>
      <c r="E38" s="207">
        <v>8991649000228</v>
      </c>
      <c r="F38" s="207">
        <v>0</v>
      </c>
    </row>
    <row r="39" spans="1:6">
      <c r="A39" s="207" t="s">
        <v>25</v>
      </c>
      <c r="B39" s="207" t="s">
        <v>7</v>
      </c>
      <c r="C39" s="207">
        <v>988100568</v>
      </c>
      <c r="D39" s="207" t="s">
        <v>552</v>
      </c>
      <c r="E39" s="207">
        <v>653314504513</v>
      </c>
      <c r="F39" s="207">
        <v>0</v>
      </c>
    </row>
    <row r="40" spans="1:6">
      <c r="A40" s="207" t="s">
        <v>25</v>
      </c>
      <c r="B40" s="207" t="s">
        <v>7</v>
      </c>
      <c r="C40" s="207">
        <v>988100650</v>
      </c>
      <c r="D40" s="207" t="s">
        <v>784</v>
      </c>
      <c r="E40" s="207">
        <v>8997233930575</v>
      </c>
      <c r="F40" s="207">
        <v>0</v>
      </c>
    </row>
    <row r="41" spans="1:6">
      <c r="A41" s="207" t="s">
        <v>25</v>
      </c>
      <c r="B41" s="207" t="s">
        <v>7</v>
      </c>
      <c r="C41" s="207">
        <v>988100649</v>
      </c>
      <c r="D41" s="207" t="s">
        <v>553</v>
      </c>
      <c r="E41" s="207">
        <v>8997233930582</v>
      </c>
      <c r="F41" s="207">
        <v>0</v>
      </c>
    </row>
    <row r="42" spans="1:6">
      <c r="A42" s="207" t="s">
        <v>25</v>
      </c>
      <c r="B42" s="207" t="s">
        <v>7</v>
      </c>
      <c r="C42" s="207">
        <v>988100541</v>
      </c>
      <c r="D42" s="207" t="s">
        <v>497</v>
      </c>
      <c r="E42" s="207">
        <v>8996196000455</v>
      </c>
      <c r="F42" s="207">
        <v>0</v>
      </c>
    </row>
    <row r="43" spans="1:6">
      <c r="A43" s="207" t="s">
        <v>25</v>
      </c>
      <c r="B43" s="207" t="s">
        <v>7</v>
      </c>
      <c r="C43" s="207">
        <v>200423</v>
      </c>
      <c r="D43" s="207" t="s">
        <v>34</v>
      </c>
      <c r="E43" s="207">
        <v>8991001502204</v>
      </c>
      <c r="F43" s="207">
        <v>0</v>
      </c>
    </row>
    <row r="44" spans="1:6">
      <c r="A44" s="207" t="s">
        <v>25</v>
      </c>
      <c r="B44" s="207" t="s">
        <v>7</v>
      </c>
      <c r="C44" s="207">
        <v>988100471</v>
      </c>
      <c r="D44" s="207" t="s">
        <v>35</v>
      </c>
      <c r="E44" s="207">
        <v>8991001501097</v>
      </c>
      <c r="F44" s="207">
        <v>0</v>
      </c>
    </row>
    <row r="45" spans="1:6">
      <c r="A45" s="207" t="s">
        <v>25</v>
      </c>
      <c r="B45" s="207" t="s">
        <v>7</v>
      </c>
      <c r="C45" s="207">
        <v>988100452</v>
      </c>
      <c r="D45" s="207" t="s">
        <v>801</v>
      </c>
      <c r="E45" s="207">
        <v>8886001026056</v>
      </c>
      <c r="F45" s="207">
        <v>0</v>
      </c>
    </row>
    <row r="46" spans="1:6">
      <c r="A46" s="207" t="s">
        <v>25</v>
      </c>
      <c r="B46" s="207" t="s">
        <v>7</v>
      </c>
      <c r="C46" s="207">
        <v>200389</v>
      </c>
      <c r="D46" s="207" t="s">
        <v>802</v>
      </c>
      <c r="E46" s="207">
        <v>7622300335809</v>
      </c>
      <c r="F46" s="207">
        <v>0</v>
      </c>
    </row>
    <row r="47" spans="1:6">
      <c r="A47" s="207" t="s">
        <v>25</v>
      </c>
      <c r="B47" s="207" t="s">
        <v>7</v>
      </c>
      <c r="C47" s="207">
        <v>200391</v>
      </c>
      <c r="D47" s="207" t="s">
        <v>633</v>
      </c>
      <c r="E47" s="207">
        <v>7622300450558</v>
      </c>
      <c r="F47" s="207">
        <v>0</v>
      </c>
    </row>
    <row r="48" spans="1:6">
      <c r="A48" s="207" t="s">
        <v>25</v>
      </c>
      <c r="B48" s="207" t="s">
        <v>7</v>
      </c>
      <c r="C48" s="207">
        <v>988100486</v>
      </c>
      <c r="D48" s="207" t="s">
        <v>188</v>
      </c>
      <c r="E48" s="207">
        <v>8996001355046</v>
      </c>
      <c r="F48" s="207">
        <v>7</v>
      </c>
    </row>
    <row r="49" spans="1:6">
      <c r="A49" s="207" t="s">
        <v>25</v>
      </c>
      <c r="B49" s="207" t="s">
        <v>7</v>
      </c>
      <c r="C49" s="207">
        <v>200018</v>
      </c>
      <c r="D49" s="207" t="s">
        <v>421</v>
      </c>
      <c r="E49" s="207">
        <v>8994504102310</v>
      </c>
      <c r="F49" s="207">
        <v>0</v>
      </c>
    </row>
    <row r="50" spans="1:6">
      <c r="A50" s="207" t="s">
        <v>25</v>
      </c>
      <c r="B50" s="207" t="s">
        <v>7</v>
      </c>
      <c r="C50" s="207">
        <v>200016</v>
      </c>
      <c r="D50" s="207" t="s">
        <v>422</v>
      </c>
      <c r="E50" s="207">
        <v>8994504102327</v>
      </c>
      <c r="F50" s="207">
        <v>0</v>
      </c>
    </row>
    <row r="51" spans="1:6">
      <c r="A51" s="207" t="s">
        <v>25</v>
      </c>
      <c r="B51" s="207" t="s">
        <v>7</v>
      </c>
      <c r="C51" s="207">
        <v>200290</v>
      </c>
      <c r="D51" s="207" t="s">
        <v>181</v>
      </c>
      <c r="E51" s="207">
        <v>8851019210124</v>
      </c>
      <c r="F51" s="207">
        <v>0</v>
      </c>
    </row>
    <row r="52" spans="1:6">
      <c r="A52" s="207" t="s">
        <v>25</v>
      </c>
      <c r="B52" s="207" t="s">
        <v>7</v>
      </c>
      <c r="C52" s="207">
        <v>200289</v>
      </c>
      <c r="D52" s="207" t="s">
        <v>182</v>
      </c>
      <c r="E52" s="207">
        <v>8851019210117</v>
      </c>
      <c r="F52" s="207">
        <v>0</v>
      </c>
    </row>
    <row r="53" spans="1:6">
      <c r="A53" s="207" t="s">
        <v>25</v>
      </c>
      <c r="B53" s="207" t="s">
        <v>7</v>
      </c>
      <c r="C53" s="207">
        <v>988100539</v>
      </c>
      <c r="D53" s="207" t="s">
        <v>36</v>
      </c>
      <c r="E53" s="207">
        <v>8998694120208</v>
      </c>
      <c r="F53" s="207">
        <v>0</v>
      </c>
    </row>
    <row r="54" spans="1:6">
      <c r="A54" s="207" t="s">
        <v>25</v>
      </c>
      <c r="B54" s="207" t="s">
        <v>7</v>
      </c>
      <c r="C54" s="207">
        <v>500048</v>
      </c>
      <c r="D54" s="207" t="s">
        <v>37</v>
      </c>
      <c r="E54" s="207">
        <v>8998685053300</v>
      </c>
      <c r="F54" s="207">
        <v>0</v>
      </c>
    </row>
    <row r="55" spans="1:6">
      <c r="A55" s="207" t="s">
        <v>25</v>
      </c>
      <c r="B55" s="207" t="s">
        <v>7</v>
      </c>
      <c r="C55" s="207">
        <v>500020</v>
      </c>
      <c r="D55" s="207" t="s">
        <v>38</v>
      </c>
      <c r="E55" s="207">
        <v>8998685054307</v>
      </c>
      <c r="F55" s="207">
        <v>0</v>
      </c>
    </row>
    <row r="56" spans="1:6">
      <c r="A56" s="207" t="s">
        <v>25</v>
      </c>
      <c r="B56" s="207" t="s">
        <v>7</v>
      </c>
      <c r="C56" s="207">
        <v>988100540</v>
      </c>
      <c r="D56" s="207" t="s">
        <v>39</v>
      </c>
      <c r="E56" s="207">
        <v>8998694110148</v>
      </c>
      <c r="F56" s="207">
        <v>0</v>
      </c>
    </row>
    <row r="57" spans="1:6">
      <c r="A57" s="207" t="s">
        <v>40</v>
      </c>
      <c r="B57" s="207" t="s">
        <v>41</v>
      </c>
      <c r="C57" s="207">
        <v>910063</v>
      </c>
      <c r="D57" s="207" t="s">
        <v>260</v>
      </c>
      <c r="E57" s="207">
        <v>8997208170272</v>
      </c>
      <c r="F57" s="207">
        <v>0</v>
      </c>
    </row>
    <row r="58" spans="1:6">
      <c r="A58" s="207" t="s">
        <v>40</v>
      </c>
      <c r="B58" s="207" t="s">
        <v>41</v>
      </c>
      <c r="C58" s="207">
        <v>910064</v>
      </c>
      <c r="D58" s="207" t="s">
        <v>261</v>
      </c>
      <c r="E58" s="207">
        <v>8997208170289</v>
      </c>
      <c r="F58" s="207">
        <v>0</v>
      </c>
    </row>
    <row r="59" spans="1:6">
      <c r="A59" s="207" t="s">
        <v>40</v>
      </c>
      <c r="B59" s="207" t="s">
        <v>41</v>
      </c>
      <c r="C59" s="207">
        <v>910065</v>
      </c>
      <c r="D59" s="207" t="s">
        <v>665</v>
      </c>
      <c r="E59" s="207">
        <v>8997208170142</v>
      </c>
      <c r="F59" s="207">
        <v>5</v>
      </c>
    </row>
    <row r="60" spans="1:6">
      <c r="A60" s="207" t="s">
        <v>40</v>
      </c>
      <c r="B60" s="207" t="s">
        <v>41</v>
      </c>
      <c r="C60" s="207">
        <v>910066</v>
      </c>
      <c r="D60" s="207" t="s">
        <v>666</v>
      </c>
      <c r="E60" s="207">
        <v>8997208170166</v>
      </c>
      <c r="F60" s="207">
        <v>3</v>
      </c>
    </row>
    <row r="61" spans="1:6">
      <c r="A61" s="207" t="s">
        <v>40</v>
      </c>
      <c r="B61" s="207" t="s">
        <v>41</v>
      </c>
      <c r="C61" s="207">
        <v>910067</v>
      </c>
      <c r="D61" s="207" t="s">
        <v>667</v>
      </c>
      <c r="E61" s="207">
        <v>8997208170173</v>
      </c>
      <c r="F61" s="207">
        <v>0</v>
      </c>
    </row>
    <row r="62" spans="1:6">
      <c r="A62" s="207" t="s">
        <v>40</v>
      </c>
      <c r="B62" s="207" t="s">
        <v>41</v>
      </c>
      <c r="C62" s="207">
        <v>910068</v>
      </c>
      <c r="D62" s="207" t="s">
        <v>668</v>
      </c>
      <c r="E62" s="207">
        <v>8997208170180</v>
      </c>
      <c r="F62" s="207">
        <v>4</v>
      </c>
    </row>
    <row r="63" spans="1:6">
      <c r="A63" s="207" t="s">
        <v>40</v>
      </c>
      <c r="B63" s="207" t="s">
        <v>41</v>
      </c>
      <c r="C63" s="207">
        <v>910069</v>
      </c>
      <c r="D63" s="207" t="s">
        <v>669</v>
      </c>
      <c r="E63" s="207">
        <v>8997208170197</v>
      </c>
      <c r="F63" s="207">
        <v>0</v>
      </c>
    </row>
    <row r="64" spans="1:6">
      <c r="A64" s="207" t="s">
        <v>40</v>
      </c>
      <c r="B64" s="207" t="s">
        <v>41</v>
      </c>
      <c r="C64" s="207">
        <v>910070</v>
      </c>
      <c r="D64" s="207" t="s">
        <v>670</v>
      </c>
      <c r="E64" s="207">
        <v>8997208170203</v>
      </c>
      <c r="F64" s="207">
        <v>4</v>
      </c>
    </row>
    <row r="65" spans="1:6">
      <c r="A65" s="207" t="s">
        <v>40</v>
      </c>
      <c r="B65" s="207" t="s">
        <v>41</v>
      </c>
      <c r="C65" s="207">
        <v>910071</v>
      </c>
      <c r="D65" s="207" t="s">
        <v>671</v>
      </c>
      <c r="E65" s="207">
        <v>8997208170210</v>
      </c>
      <c r="F65" s="207">
        <v>4</v>
      </c>
    </row>
    <row r="66" spans="1:6">
      <c r="A66" s="207" t="s">
        <v>40</v>
      </c>
      <c r="B66" s="207" t="s">
        <v>41</v>
      </c>
      <c r="C66" s="207">
        <v>910072</v>
      </c>
      <c r="D66" s="207" t="s">
        <v>672</v>
      </c>
      <c r="E66" s="207">
        <v>8997208170227</v>
      </c>
      <c r="F66" s="207">
        <v>1</v>
      </c>
    </row>
    <row r="67" spans="1:6">
      <c r="A67" s="207" t="s">
        <v>40</v>
      </c>
      <c r="B67" s="207" t="s">
        <v>41</v>
      </c>
      <c r="C67" s="207">
        <v>910073</v>
      </c>
      <c r="D67" s="207" t="s">
        <v>673</v>
      </c>
      <c r="E67" s="207">
        <v>8997208170234</v>
      </c>
      <c r="F67" s="207">
        <v>1</v>
      </c>
    </row>
    <row r="68" spans="1:6">
      <c r="A68" s="207" t="s">
        <v>40</v>
      </c>
      <c r="B68" s="207" t="s">
        <v>41</v>
      </c>
      <c r="C68" s="207">
        <v>910074</v>
      </c>
      <c r="D68" s="207" t="s">
        <v>674</v>
      </c>
      <c r="E68" s="207">
        <v>8997208170241</v>
      </c>
      <c r="F68" s="207">
        <v>2</v>
      </c>
    </row>
    <row r="69" spans="1:6">
      <c r="A69" s="207" t="s">
        <v>40</v>
      </c>
      <c r="B69" s="207" t="s">
        <v>41</v>
      </c>
      <c r="C69" s="207">
        <v>910075</v>
      </c>
      <c r="D69" s="207" t="s">
        <v>675</v>
      </c>
      <c r="E69" s="207">
        <v>8997208170258</v>
      </c>
      <c r="F69" s="207">
        <v>6</v>
      </c>
    </row>
    <row r="70" spans="1:6">
      <c r="A70" s="207" t="s">
        <v>40</v>
      </c>
      <c r="B70" s="207" t="s">
        <v>41</v>
      </c>
      <c r="C70" s="207">
        <v>910076</v>
      </c>
      <c r="D70" s="207" t="s">
        <v>676</v>
      </c>
      <c r="E70" s="207">
        <v>8997208170265</v>
      </c>
      <c r="F70" s="207">
        <v>4</v>
      </c>
    </row>
    <row r="71" spans="1:6">
      <c r="A71" s="207" t="s">
        <v>40</v>
      </c>
      <c r="B71" s="207" t="s">
        <v>41</v>
      </c>
      <c r="C71" s="207">
        <v>910054</v>
      </c>
      <c r="D71" s="207" t="s">
        <v>42</v>
      </c>
      <c r="E71" s="207">
        <v>6949070602988</v>
      </c>
      <c r="F71" s="207">
        <v>6</v>
      </c>
    </row>
    <row r="72" spans="1:6">
      <c r="A72" s="207" t="s">
        <v>40</v>
      </c>
      <c r="B72" s="207" t="s">
        <v>41</v>
      </c>
      <c r="C72" s="207">
        <v>910056</v>
      </c>
      <c r="D72" s="207" t="s">
        <v>43</v>
      </c>
      <c r="E72" s="207">
        <v>6949070603022</v>
      </c>
      <c r="F72" s="207">
        <v>4</v>
      </c>
    </row>
    <row r="73" spans="1:6">
      <c r="A73" s="207" t="s">
        <v>40</v>
      </c>
      <c r="B73" s="207" t="s">
        <v>41</v>
      </c>
      <c r="C73" s="207">
        <v>910057</v>
      </c>
      <c r="D73" s="207" t="s">
        <v>44</v>
      </c>
      <c r="E73" s="207">
        <v>6949070603039</v>
      </c>
      <c r="F73" s="207">
        <v>3</v>
      </c>
    </row>
    <row r="74" spans="1:6">
      <c r="A74" s="207" t="s">
        <v>40</v>
      </c>
      <c r="B74" s="207" t="s">
        <v>41</v>
      </c>
      <c r="C74" s="207">
        <v>990004</v>
      </c>
      <c r="D74" s="207" t="s">
        <v>45</v>
      </c>
      <c r="E74" s="207" t="s">
        <v>46</v>
      </c>
      <c r="F74" s="207">
        <v>39</v>
      </c>
    </row>
    <row r="75" spans="1:6">
      <c r="A75" s="207" t="s">
        <v>40</v>
      </c>
      <c r="B75" s="207" t="s">
        <v>41</v>
      </c>
      <c r="C75" s="207">
        <v>990116</v>
      </c>
      <c r="D75" s="207" t="s">
        <v>47</v>
      </c>
      <c r="E75" s="207" t="s">
        <v>48</v>
      </c>
      <c r="F75" s="207">
        <v>27</v>
      </c>
    </row>
    <row r="76" spans="1:6">
      <c r="A76" s="207" t="s">
        <v>40</v>
      </c>
      <c r="B76" s="207" t="s">
        <v>41</v>
      </c>
      <c r="C76" s="207">
        <v>990117</v>
      </c>
      <c r="D76" s="207" t="s">
        <v>49</v>
      </c>
      <c r="E76" s="207" t="s">
        <v>50</v>
      </c>
      <c r="F76" s="207">
        <v>28</v>
      </c>
    </row>
    <row r="77" spans="1:6">
      <c r="A77" s="207" t="s">
        <v>40</v>
      </c>
      <c r="B77" s="207" t="s">
        <v>41</v>
      </c>
      <c r="C77" s="207">
        <v>990115</v>
      </c>
      <c r="D77" s="207" t="s">
        <v>51</v>
      </c>
      <c r="E77" s="207" t="s">
        <v>52</v>
      </c>
      <c r="F77" s="207">
        <v>20</v>
      </c>
    </row>
    <row r="78" spans="1:6">
      <c r="A78" s="207" t="s">
        <v>40</v>
      </c>
      <c r="B78" s="207" t="s">
        <v>41</v>
      </c>
      <c r="C78" s="207">
        <v>988100570</v>
      </c>
      <c r="D78" s="207" t="s">
        <v>53</v>
      </c>
      <c r="E78" s="207" t="s">
        <v>54</v>
      </c>
      <c r="F78" s="207">
        <v>11</v>
      </c>
    </row>
    <row r="79" spans="1:6">
      <c r="A79" s="207" t="s">
        <v>40</v>
      </c>
      <c r="B79" s="207" t="s">
        <v>41</v>
      </c>
      <c r="C79" s="207">
        <v>988100484</v>
      </c>
      <c r="D79" s="207" t="s">
        <v>55</v>
      </c>
      <c r="E79" s="207" t="s">
        <v>56</v>
      </c>
      <c r="F79" s="207">
        <v>24</v>
      </c>
    </row>
    <row r="80" spans="1:6">
      <c r="A80" s="207" t="s">
        <v>40</v>
      </c>
      <c r="B80" s="207" t="s">
        <v>41</v>
      </c>
      <c r="C80" s="207">
        <v>988100661</v>
      </c>
      <c r="D80" s="207" t="s">
        <v>57</v>
      </c>
      <c r="E80" s="207" t="s">
        <v>58</v>
      </c>
      <c r="F80" s="207">
        <v>19</v>
      </c>
    </row>
    <row r="81" spans="1:6">
      <c r="A81" s="207" t="s">
        <v>40</v>
      </c>
      <c r="B81" s="207" t="s">
        <v>41</v>
      </c>
      <c r="C81" s="207">
        <v>988100662</v>
      </c>
      <c r="D81" s="207" t="s">
        <v>59</v>
      </c>
      <c r="E81" s="207" t="s">
        <v>60</v>
      </c>
      <c r="F81" s="207">
        <v>0</v>
      </c>
    </row>
    <row r="82" spans="1:6">
      <c r="A82" s="207" t="s">
        <v>40</v>
      </c>
      <c r="B82" s="207" t="s">
        <v>41</v>
      </c>
      <c r="C82" s="207">
        <v>990102</v>
      </c>
      <c r="D82" s="207" t="s">
        <v>61</v>
      </c>
      <c r="E82" s="207" t="s">
        <v>62</v>
      </c>
      <c r="F82" s="207">
        <v>81</v>
      </c>
    </row>
    <row r="83" spans="1:6">
      <c r="A83" s="207" t="s">
        <v>40</v>
      </c>
      <c r="B83" s="207" t="s">
        <v>41</v>
      </c>
      <c r="C83" s="207">
        <v>988100066</v>
      </c>
      <c r="D83" s="207" t="s">
        <v>63</v>
      </c>
      <c r="E83" s="207" t="s">
        <v>64</v>
      </c>
      <c r="F83" s="207">
        <v>86</v>
      </c>
    </row>
    <row r="84" spans="1:6">
      <c r="A84" s="207" t="s">
        <v>40</v>
      </c>
      <c r="B84" s="207" t="s">
        <v>41</v>
      </c>
      <c r="C84" s="207">
        <v>988100068</v>
      </c>
      <c r="D84" s="207" t="s">
        <v>65</v>
      </c>
      <c r="E84" s="207" t="s">
        <v>66</v>
      </c>
      <c r="F84" s="207">
        <v>34</v>
      </c>
    </row>
    <row r="85" spans="1:6">
      <c r="A85" s="207" t="s">
        <v>40</v>
      </c>
      <c r="B85" s="207" t="s">
        <v>41</v>
      </c>
      <c r="C85" s="207">
        <v>988100124</v>
      </c>
      <c r="D85" s="207" t="s">
        <v>67</v>
      </c>
      <c r="E85" s="207" t="s">
        <v>68</v>
      </c>
      <c r="F85" s="207">
        <v>57</v>
      </c>
    </row>
    <row r="86" spans="1:6">
      <c r="A86" s="207" t="s">
        <v>40</v>
      </c>
      <c r="B86" s="207" t="s">
        <v>41</v>
      </c>
      <c r="C86" s="207">
        <v>988100088</v>
      </c>
      <c r="D86" s="207" t="s">
        <v>69</v>
      </c>
      <c r="E86" s="207" t="s">
        <v>70</v>
      </c>
      <c r="F86" s="207">
        <v>55</v>
      </c>
    </row>
    <row r="87" spans="1:6">
      <c r="A87" s="207" t="s">
        <v>25</v>
      </c>
      <c r="B87" s="207" t="s">
        <v>41</v>
      </c>
      <c r="C87" s="207">
        <v>988100601</v>
      </c>
      <c r="D87" s="207" t="s">
        <v>71</v>
      </c>
      <c r="E87" s="207" t="s">
        <v>72</v>
      </c>
      <c r="F87" s="207">
        <v>3</v>
      </c>
    </row>
    <row r="88" spans="1:6">
      <c r="A88" s="207" t="s">
        <v>25</v>
      </c>
      <c r="B88" s="207" t="s">
        <v>41</v>
      </c>
      <c r="C88" s="207">
        <v>988100602</v>
      </c>
      <c r="D88" s="207" t="s">
        <v>73</v>
      </c>
      <c r="E88" s="207" t="s">
        <v>74</v>
      </c>
      <c r="F88" s="207">
        <v>3</v>
      </c>
    </row>
    <row r="89" spans="1:6">
      <c r="A89" s="207" t="s">
        <v>25</v>
      </c>
      <c r="B89" s="207" t="s">
        <v>41</v>
      </c>
      <c r="C89" s="207">
        <v>988100605</v>
      </c>
      <c r="D89" s="207" t="s">
        <v>75</v>
      </c>
      <c r="E89" s="207" t="s">
        <v>76</v>
      </c>
      <c r="F89" s="207">
        <v>1</v>
      </c>
    </row>
    <row r="90" spans="1:6">
      <c r="A90" s="207" t="s">
        <v>25</v>
      </c>
      <c r="B90" s="207" t="s">
        <v>41</v>
      </c>
      <c r="C90" s="207">
        <v>988100606</v>
      </c>
      <c r="D90" s="207" t="s">
        <v>77</v>
      </c>
      <c r="E90" s="207" t="s">
        <v>78</v>
      </c>
      <c r="F90" s="207">
        <v>2</v>
      </c>
    </row>
    <row r="91" spans="1:6">
      <c r="A91" s="207" t="s">
        <v>124</v>
      </c>
      <c r="B91" s="207" t="s">
        <v>41</v>
      </c>
      <c r="C91" s="207">
        <v>988100653</v>
      </c>
      <c r="D91" s="207" t="s">
        <v>803</v>
      </c>
      <c r="E91" s="207">
        <v>8993319190451</v>
      </c>
      <c r="F91" s="207">
        <v>0</v>
      </c>
    </row>
    <row r="92" spans="1:6">
      <c r="A92" s="207" t="s">
        <v>124</v>
      </c>
      <c r="B92" s="207" t="s">
        <v>41</v>
      </c>
      <c r="C92" s="207">
        <v>988100654</v>
      </c>
      <c r="D92" s="207" t="s">
        <v>804</v>
      </c>
      <c r="E92" s="207">
        <v>8993319190185</v>
      </c>
      <c r="F92" s="207">
        <v>0</v>
      </c>
    </row>
    <row r="93" spans="1:6">
      <c r="A93" s="207" t="s">
        <v>124</v>
      </c>
      <c r="B93" s="207" t="s">
        <v>41</v>
      </c>
      <c r="C93" s="207">
        <v>988100655</v>
      </c>
      <c r="D93" s="207" t="s">
        <v>805</v>
      </c>
      <c r="E93" s="207">
        <v>8993319190284</v>
      </c>
      <c r="F93" s="207">
        <v>0</v>
      </c>
    </row>
    <row r="94" spans="1:6">
      <c r="A94" s="207" t="s">
        <v>124</v>
      </c>
      <c r="B94" s="207" t="s">
        <v>41</v>
      </c>
      <c r="C94" s="207">
        <v>988100656</v>
      </c>
      <c r="D94" s="207" t="s">
        <v>806</v>
      </c>
      <c r="E94" s="207">
        <v>8993319190727</v>
      </c>
      <c r="F94" s="207">
        <v>0</v>
      </c>
    </row>
    <row r="95" spans="1:6">
      <c r="A95" s="207" t="s">
        <v>124</v>
      </c>
      <c r="B95" s="207" t="s">
        <v>41</v>
      </c>
      <c r="C95" s="207">
        <v>988100657</v>
      </c>
      <c r="D95" s="207" t="s">
        <v>807</v>
      </c>
      <c r="E95" s="207" t="s">
        <v>808</v>
      </c>
      <c r="F95" s="207">
        <v>0</v>
      </c>
    </row>
    <row r="96" spans="1:6">
      <c r="A96" s="207" t="s">
        <v>124</v>
      </c>
      <c r="B96" s="207" t="s">
        <v>41</v>
      </c>
      <c r="C96" s="207">
        <v>988100658</v>
      </c>
      <c r="D96" s="207" t="s">
        <v>809</v>
      </c>
      <c r="E96" s="207">
        <v>8993319190468</v>
      </c>
      <c r="F96" s="207">
        <v>0</v>
      </c>
    </row>
    <row r="97" spans="1:6">
      <c r="A97" s="207" t="s">
        <v>124</v>
      </c>
      <c r="B97" s="207" t="s">
        <v>41</v>
      </c>
      <c r="C97" s="207">
        <v>988100659</v>
      </c>
      <c r="D97" s="207" t="s">
        <v>810</v>
      </c>
      <c r="E97" s="207">
        <v>8993319190178</v>
      </c>
      <c r="F97" s="207">
        <v>0</v>
      </c>
    </row>
    <row r="98" spans="1:6">
      <c r="A98" s="207" t="s">
        <v>25</v>
      </c>
      <c r="B98" s="207" t="s">
        <v>41</v>
      </c>
      <c r="C98" s="207">
        <v>988100438</v>
      </c>
      <c r="D98" s="207" t="s">
        <v>79</v>
      </c>
      <c r="E98" s="207">
        <v>44781299</v>
      </c>
      <c r="F98" s="207">
        <v>0</v>
      </c>
    </row>
    <row r="99" spans="1:6">
      <c r="A99" s="207" t="s">
        <v>25</v>
      </c>
      <c r="B99" s="207" t="s">
        <v>41</v>
      </c>
      <c r="C99" s="207">
        <v>988100439</v>
      </c>
      <c r="D99" s="207" t="s">
        <v>80</v>
      </c>
      <c r="E99" s="207">
        <v>44783238</v>
      </c>
      <c r="F99" s="207">
        <v>0</v>
      </c>
    </row>
    <row r="100" spans="1:6">
      <c r="A100" s="207" t="s">
        <v>25</v>
      </c>
      <c r="B100" s="207" t="s">
        <v>41</v>
      </c>
      <c r="C100" s="207">
        <v>988100440</v>
      </c>
      <c r="D100" s="207" t="s">
        <v>81</v>
      </c>
      <c r="E100" s="207">
        <v>44785238</v>
      </c>
      <c r="F100" s="207">
        <v>0</v>
      </c>
    </row>
    <row r="101" spans="1:6">
      <c r="A101" s="207" t="s">
        <v>25</v>
      </c>
      <c r="B101" s="207" t="s">
        <v>41</v>
      </c>
      <c r="C101" s="207">
        <v>988100441</v>
      </c>
      <c r="D101" s="207" t="s">
        <v>82</v>
      </c>
      <c r="E101" s="207">
        <v>87440099</v>
      </c>
      <c r="F101" s="207">
        <v>0</v>
      </c>
    </row>
    <row r="102" spans="1:6">
      <c r="A102" s="207" t="s">
        <v>25</v>
      </c>
      <c r="B102" s="207" t="s">
        <v>41</v>
      </c>
      <c r="C102" s="207">
        <v>988100442</v>
      </c>
      <c r="D102" s="207" t="s">
        <v>83</v>
      </c>
      <c r="E102" s="207">
        <v>44787238</v>
      </c>
      <c r="F102" s="207">
        <v>0</v>
      </c>
    </row>
    <row r="103" spans="1:6">
      <c r="A103" s="207" t="s">
        <v>25</v>
      </c>
      <c r="B103" s="207" t="s">
        <v>41</v>
      </c>
      <c r="C103" s="207">
        <v>988100443</v>
      </c>
      <c r="D103" s="207" t="s">
        <v>84</v>
      </c>
      <c r="E103" s="207">
        <v>44781238</v>
      </c>
      <c r="F103" s="207">
        <v>0</v>
      </c>
    </row>
    <row r="104" spans="1:6">
      <c r="A104" s="207" t="s">
        <v>25</v>
      </c>
      <c r="B104" s="207" t="s">
        <v>41</v>
      </c>
      <c r="C104" s="207">
        <v>988100453</v>
      </c>
      <c r="D104" s="207" t="s">
        <v>85</v>
      </c>
      <c r="E104" s="207">
        <v>44784210</v>
      </c>
      <c r="F104" s="207">
        <v>0</v>
      </c>
    </row>
    <row r="105" spans="1:6">
      <c r="A105" s="207" t="s">
        <v>25</v>
      </c>
      <c r="B105" s="207" t="s">
        <v>41</v>
      </c>
      <c r="C105" s="207">
        <v>988100465</v>
      </c>
      <c r="D105" s="207" t="s">
        <v>86</v>
      </c>
      <c r="E105" s="207">
        <v>44781398</v>
      </c>
      <c r="F105" s="207">
        <v>0</v>
      </c>
    </row>
    <row r="106" spans="1:6">
      <c r="A106" s="207" t="s">
        <v>25</v>
      </c>
      <c r="B106" s="207" t="s">
        <v>41</v>
      </c>
      <c r="C106" s="207">
        <v>988100466</v>
      </c>
      <c r="D106" s="207" t="s">
        <v>87</v>
      </c>
      <c r="E106" s="207">
        <v>44782487</v>
      </c>
      <c r="F106" s="207">
        <v>0</v>
      </c>
    </row>
    <row r="107" spans="1:6">
      <c r="A107" s="207" t="s">
        <v>25</v>
      </c>
      <c r="B107" s="207" t="s">
        <v>41</v>
      </c>
      <c r="C107" s="207">
        <v>988100467</v>
      </c>
      <c r="D107" s="207" t="s">
        <v>88</v>
      </c>
      <c r="E107" s="207">
        <v>44781299</v>
      </c>
      <c r="F107" s="207">
        <v>0</v>
      </c>
    </row>
    <row r="108" spans="1:6">
      <c r="A108" s="207" t="s">
        <v>89</v>
      </c>
      <c r="B108" s="207" t="s">
        <v>7</v>
      </c>
      <c r="C108" s="207">
        <v>988100473</v>
      </c>
      <c r="D108" s="207" t="s">
        <v>90</v>
      </c>
      <c r="E108" s="207">
        <v>8998866820301</v>
      </c>
      <c r="F108" s="207">
        <v>0</v>
      </c>
    </row>
    <row r="109" spans="1:6">
      <c r="A109" s="207" t="s">
        <v>89</v>
      </c>
      <c r="B109" s="207" t="s">
        <v>7</v>
      </c>
      <c r="C109" s="207">
        <v>300054</v>
      </c>
      <c r="D109" s="207" t="s">
        <v>91</v>
      </c>
      <c r="E109" s="207">
        <v>8998866820011</v>
      </c>
      <c r="F109" s="207">
        <v>0</v>
      </c>
    </row>
    <row r="110" spans="1:6">
      <c r="A110" s="207" t="s">
        <v>89</v>
      </c>
      <c r="B110" s="207" t="s">
        <v>7</v>
      </c>
      <c r="C110" s="207">
        <v>300050</v>
      </c>
      <c r="D110" s="207" t="s">
        <v>92</v>
      </c>
      <c r="E110" s="207">
        <v>8998866820004</v>
      </c>
      <c r="F110" s="207">
        <v>0</v>
      </c>
    </row>
    <row r="111" spans="1:6">
      <c r="A111" s="207" t="s">
        <v>89</v>
      </c>
      <c r="B111" s="207" t="s">
        <v>7</v>
      </c>
      <c r="C111" s="207">
        <v>988100434</v>
      </c>
      <c r="D111" s="207" t="s">
        <v>93</v>
      </c>
      <c r="E111" s="207">
        <v>8998866820486</v>
      </c>
      <c r="F111" s="207">
        <v>0</v>
      </c>
    </row>
    <row r="112" spans="1:6">
      <c r="A112" s="207" t="s">
        <v>89</v>
      </c>
      <c r="B112" s="207" t="s">
        <v>7</v>
      </c>
      <c r="C112" s="207">
        <v>988100464</v>
      </c>
      <c r="D112" s="207" t="s">
        <v>94</v>
      </c>
      <c r="E112" s="207">
        <v>8998866820554</v>
      </c>
      <c r="F112" s="207">
        <v>0</v>
      </c>
    </row>
    <row r="113" spans="1:6">
      <c r="A113" s="207" t="s">
        <v>89</v>
      </c>
      <c r="B113" s="207" t="s">
        <v>7</v>
      </c>
      <c r="C113" s="207">
        <v>988100455</v>
      </c>
      <c r="D113" s="207" t="s">
        <v>95</v>
      </c>
      <c r="E113" s="207">
        <v>8998866820516</v>
      </c>
      <c r="F113" s="207">
        <v>24</v>
      </c>
    </row>
    <row r="114" spans="1:6">
      <c r="A114" s="207" t="s">
        <v>89</v>
      </c>
      <c r="B114" s="207" t="s">
        <v>7</v>
      </c>
      <c r="C114" s="207">
        <v>988100132</v>
      </c>
      <c r="D114" s="207" t="s">
        <v>96</v>
      </c>
      <c r="E114" s="207">
        <v>8998866820400</v>
      </c>
      <c r="F114" s="207">
        <v>40</v>
      </c>
    </row>
    <row r="115" spans="1:6">
      <c r="A115" s="207" t="s">
        <v>89</v>
      </c>
      <c r="B115" s="207" t="s">
        <v>7</v>
      </c>
      <c r="C115" s="207">
        <v>988100100</v>
      </c>
      <c r="D115" s="207" t="s">
        <v>97</v>
      </c>
      <c r="E115" s="207">
        <v>8998866820363</v>
      </c>
      <c r="F115" s="207">
        <v>14</v>
      </c>
    </row>
    <row r="116" spans="1:6">
      <c r="A116" s="207" t="s">
        <v>89</v>
      </c>
      <c r="B116" s="207" t="s">
        <v>7</v>
      </c>
      <c r="C116" s="207">
        <v>988100137</v>
      </c>
      <c r="D116" s="207" t="s">
        <v>98</v>
      </c>
      <c r="E116" s="207">
        <v>8998866820356</v>
      </c>
      <c r="F116" s="207">
        <v>17</v>
      </c>
    </row>
    <row r="117" spans="1:6">
      <c r="A117" s="207" t="s">
        <v>89</v>
      </c>
      <c r="B117" s="207" t="s">
        <v>7</v>
      </c>
      <c r="C117" s="207">
        <v>988100468</v>
      </c>
      <c r="D117" s="207" t="s">
        <v>99</v>
      </c>
      <c r="E117" s="207">
        <v>8998866820479</v>
      </c>
      <c r="F117" s="207">
        <v>0</v>
      </c>
    </row>
    <row r="118" spans="1:6">
      <c r="A118" s="207" t="s">
        <v>89</v>
      </c>
      <c r="B118" s="207" t="s">
        <v>7</v>
      </c>
      <c r="C118" s="207">
        <v>988100040</v>
      </c>
      <c r="D118" s="207" t="s">
        <v>100</v>
      </c>
      <c r="E118" s="207">
        <v>8998866820165</v>
      </c>
      <c r="F118" s="207">
        <v>0</v>
      </c>
    </row>
    <row r="119" spans="1:6">
      <c r="A119" s="207" t="s">
        <v>89</v>
      </c>
      <c r="B119" s="207" t="s">
        <v>7</v>
      </c>
      <c r="C119" s="207">
        <v>988100474</v>
      </c>
      <c r="D119" s="207" t="s">
        <v>101</v>
      </c>
      <c r="E119" s="207">
        <v>8998866820530</v>
      </c>
      <c r="F119" s="207">
        <v>17</v>
      </c>
    </row>
    <row r="120" spans="1:6">
      <c r="A120" s="207" t="s">
        <v>89</v>
      </c>
      <c r="B120" s="207" t="s">
        <v>7</v>
      </c>
      <c r="C120" s="207">
        <v>988100475</v>
      </c>
      <c r="D120" s="207" t="s">
        <v>102</v>
      </c>
      <c r="E120" s="207">
        <v>8998866820547</v>
      </c>
      <c r="F120" s="207">
        <v>0</v>
      </c>
    </row>
    <row r="121" spans="1:6">
      <c r="A121" s="207" t="s">
        <v>89</v>
      </c>
      <c r="B121" s="207" t="s">
        <v>7</v>
      </c>
      <c r="C121" s="207">
        <v>988100476</v>
      </c>
      <c r="D121" s="207" t="s">
        <v>103</v>
      </c>
      <c r="E121" s="207">
        <v>8998866820370</v>
      </c>
      <c r="F121" s="207">
        <v>0</v>
      </c>
    </row>
    <row r="122" spans="1:6">
      <c r="A122" s="207" t="s">
        <v>89</v>
      </c>
      <c r="B122" s="207" t="s">
        <v>7</v>
      </c>
      <c r="C122" s="207">
        <v>988100477</v>
      </c>
      <c r="D122" s="207" t="s">
        <v>104</v>
      </c>
      <c r="E122" s="207">
        <v>8998866820394</v>
      </c>
      <c r="F122" s="207">
        <v>0</v>
      </c>
    </row>
    <row r="123" spans="1:6">
      <c r="A123" s="207" t="s">
        <v>89</v>
      </c>
      <c r="B123" s="207" t="s">
        <v>7</v>
      </c>
      <c r="C123" s="207">
        <v>988100478</v>
      </c>
      <c r="D123" s="207" t="s">
        <v>105</v>
      </c>
      <c r="E123" s="207">
        <v>8998866820462</v>
      </c>
      <c r="F123" s="207">
        <v>0</v>
      </c>
    </row>
    <row r="124" spans="1:6">
      <c r="A124" s="207" t="s">
        <v>89</v>
      </c>
      <c r="B124" s="207" t="s">
        <v>7</v>
      </c>
      <c r="C124" s="207">
        <v>988100479</v>
      </c>
      <c r="D124" s="207" t="s">
        <v>106</v>
      </c>
      <c r="E124" s="207">
        <v>8998866820523</v>
      </c>
      <c r="F124" s="207">
        <v>0</v>
      </c>
    </row>
    <row r="125" spans="1:6">
      <c r="A125" s="207" t="s">
        <v>89</v>
      </c>
      <c r="B125" s="207" t="s">
        <v>7</v>
      </c>
      <c r="C125" s="207">
        <v>988100480</v>
      </c>
      <c r="D125" s="207" t="s">
        <v>107</v>
      </c>
      <c r="E125" s="207">
        <v>8998866820493</v>
      </c>
      <c r="F125" s="207">
        <v>0</v>
      </c>
    </row>
    <row r="126" spans="1:6">
      <c r="A126" s="207" t="s">
        <v>89</v>
      </c>
      <c r="B126" s="207" t="s">
        <v>7</v>
      </c>
      <c r="C126" s="207">
        <v>988100034</v>
      </c>
      <c r="D126" s="207" t="s">
        <v>108</v>
      </c>
      <c r="E126" s="207">
        <v>8998866820219</v>
      </c>
      <c r="F126" s="207">
        <v>0</v>
      </c>
    </row>
    <row r="127" spans="1:6">
      <c r="A127" s="207" t="s">
        <v>89</v>
      </c>
      <c r="B127" s="207" t="s">
        <v>7</v>
      </c>
      <c r="C127" s="207">
        <v>988100537</v>
      </c>
      <c r="D127" s="207" t="s">
        <v>109</v>
      </c>
      <c r="E127" s="207">
        <v>8998866820592</v>
      </c>
      <c r="F127" s="207">
        <v>0</v>
      </c>
    </row>
    <row r="128" spans="1:6">
      <c r="A128" s="207" t="s">
        <v>89</v>
      </c>
      <c r="B128" s="207" t="s">
        <v>7</v>
      </c>
      <c r="C128" s="207">
        <v>988100543</v>
      </c>
      <c r="D128" s="207" t="s">
        <v>110</v>
      </c>
      <c r="E128" s="207">
        <v>8998866820639</v>
      </c>
      <c r="F128" s="207">
        <v>30</v>
      </c>
    </row>
    <row r="129" spans="1:6">
      <c r="A129" s="207" t="s">
        <v>89</v>
      </c>
      <c r="B129" s="207" t="s">
        <v>7</v>
      </c>
      <c r="C129" s="207">
        <v>988100544</v>
      </c>
      <c r="D129" s="207" t="s">
        <v>111</v>
      </c>
      <c r="E129" s="207">
        <v>8998866820585</v>
      </c>
      <c r="F129" s="207">
        <v>0</v>
      </c>
    </row>
    <row r="130" spans="1:6">
      <c r="A130" s="207" t="s">
        <v>89</v>
      </c>
      <c r="B130" s="207" t="s">
        <v>7</v>
      </c>
      <c r="C130" s="207">
        <v>988100600</v>
      </c>
      <c r="D130" s="207" t="s">
        <v>112</v>
      </c>
      <c r="E130" s="207">
        <v>8998866820653</v>
      </c>
      <c r="F130" s="207">
        <v>53</v>
      </c>
    </row>
    <row r="131" spans="1:6">
      <c r="A131" s="207" t="s">
        <v>89</v>
      </c>
      <c r="B131" s="207" t="s">
        <v>7</v>
      </c>
      <c r="C131" s="207">
        <v>988100627</v>
      </c>
      <c r="D131" s="207" t="s">
        <v>113</v>
      </c>
      <c r="E131" s="207">
        <v>8998866820660</v>
      </c>
      <c r="F131" s="207">
        <v>0</v>
      </c>
    </row>
    <row r="132" spans="1:6">
      <c r="A132" s="207" t="s">
        <v>89</v>
      </c>
      <c r="B132" s="207" t="s">
        <v>7</v>
      </c>
      <c r="C132" s="207">
        <v>988100640</v>
      </c>
      <c r="D132" s="207" t="s">
        <v>114</v>
      </c>
      <c r="E132" s="207">
        <v>8998866820677</v>
      </c>
      <c r="F132" s="207">
        <v>38</v>
      </c>
    </row>
    <row r="133" spans="1:6">
      <c r="A133" s="207" t="s">
        <v>89</v>
      </c>
      <c r="B133" s="207" t="s">
        <v>7</v>
      </c>
      <c r="C133" s="207">
        <v>300043</v>
      </c>
      <c r="D133" s="207" t="s">
        <v>115</v>
      </c>
      <c r="E133" s="207">
        <v>8998866820042</v>
      </c>
      <c r="F133" s="207">
        <v>0</v>
      </c>
    </row>
    <row r="134" spans="1:6">
      <c r="A134" s="207" t="s">
        <v>89</v>
      </c>
      <c r="B134" s="207" t="s">
        <v>7</v>
      </c>
      <c r="C134" s="207">
        <v>300046</v>
      </c>
      <c r="D134" s="207" t="s">
        <v>116</v>
      </c>
      <c r="E134" s="207">
        <v>8998866820103</v>
      </c>
      <c r="F134" s="207">
        <v>26</v>
      </c>
    </row>
    <row r="135" spans="1:6">
      <c r="A135" s="207" t="s">
        <v>89</v>
      </c>
      <c r="B135" s="207" t="s">
        <v>7</v>
      </c>
      <c r="C135" s="207">
        <v>988100426</v>
      </c>
      <c r="D135" s="207" t="s">
        <v>811</v>
      </c>
      <c r="E135" s="207">
        <v>8998866820271</v>
      </c>
      <c r="F135" s="207">
        <v>22</v>
      </c>
    </row>
    <row r="136" spans="1:6">
      <c r="A136" s="207" t="s">
        <v>25</v>
      </c>
      <c r="B136" s="207" t="s">
        <v>7</v>
      </c>
      <c r="C136" s="207">
        <v>988100435</v>
      </c>
      <c r="D136" s="207" t="s">
        <v>118</v>
      </c>
      <c r="E136" s="207">
        <v>8886467100246</v>
      </c>
      <c r="F136" s="207">
        <v>0</v>
      </c>
    </row>
    <row r="137" spans="1:6">
      <c r="A137" s="207" t="s">
        <v>25</v>
      </c>
      <c r="B137" s="207" t="s">
        <v>7</v>
      </c>
      <c r="C137" s="207">
        <v>200235</v>
      </c>
      <c r="D137" s="207" t="s">
        <v>119</v>
      </c>
      <c r="E137" s="207">
        <v>8886467100260</v>
      </c>
      <c r="F137" s="207">
        <v>0</v>
      </c>
    </row>
    <row r="138" spans="1:6">
      <c r="A138" s="207" t="s">
        <v>25</v>
      </c>
      <c r="B138" s="207" t="s">
        <v>7</v>
      </c>
      <c r="C138" s="207">
        <v>200051</v>
      </c>
      <c r="D138" s="207" t="s">
        <v>812</v>
      </c>
      <c r="E138" s="207">
        <v>8991001780133</v>
      </c>
      <c r="F138" s="207">
        <v>0</v>
      </c>
    </row>
    <row r="139" spans="1:6">
      <c r="A139" s="207" t="s">
        <v>25</v>
      </c>
      <c r="B139" s="207" t="s">
        <v>7</v>
      </c>
      <c r="C139" s="207">
        <v>200066</v>
      </c>
      <c r="D139" s="207" t="s">
        <v>813</v>
      </c>
      <c r="E139" s="207">
        <v>8991001780140</v>
      </c>
      <c r="F139" s="207">
        <v>0</v>
      </c>
    </row>
    <row r="140" spans="1:6">
      <c r="A140" s="207" t="s">
        <v>89</v>
      </c>
      <c r="B140" s="207" t="s">
        <v>7</v>
      </c>
      <c r="C140" s="207">
        <v>988100667</v>
      </c>
      <c r="D140" s="207" t="s">
        <v>120</v>
      </c>
      <c r="E140" s="207">
        <v>8998866820691</v>
      </c>
      <c r="F140" s="207">
        <v>27</v>
      </c>
    </row>
    <row r="141" spans="1:6">
      <c r="A141" s="207" t="s">
        <v>25</v>
      </c>
      <c r="B141" s="207" t="s">
        <v>7</v>
      </c>
      <c r="C141" s="207">
        <v>988100663</v>
      </c>
      <c r="D141" s="207" t="s">
        <v>121</v>
      </c>
      <c r="E141" s="207">
        <v>89686611601</v>
      </c>
      <c r="F141" s="207">
        <v>57</v>
      </c>
    </row>
    <row r="142" spans="1:6">
      <c r="A142" s="207" t="s">
        <v>25</v>
      </c>
      <c r="B142" s="207" t="s">
        <v>7</v>
      </c>
      <c r="C142" s="207">
        <v>988100611</v>
      </c>
      <c r="D142" s="207" t="s">
        <v>123</v>
      </c>
      <c r="E142" s="207">
        <v>89686729009</v>
      </c>
      <c r="F142" s="207">
        <v>55</v>
      </c>
    </row>
    <row r="143" spans="1:6">
      <c r="A143" s="207" t="s">
        <v>124</v>
      </c>
      <c r="B143" s="207" t="s">
        <v>41</v>
      </c>
      <c r="C143" s="207">
        <v>988100578</v>
      </c>
      <c r="D143" s="207" t="s">
        <v>125</v>
      </c>
      <c r="E143" s="207" t="s">
        <v>126</v>
      </c>
      <c r="F143" s="207">
        <v>0</v>
      </c>
    </row>
    <row r="144" spans="1:6">
      <c r="A144" s="207" t="s">
        <v>124</v>
      </c>
      <c r="B144" s="207" t="s">
        <v>41</v>
      </c>
      <c r="C144" s="207">
        <v>988100579</v>
      </c>
      <c r="D144" s="207" t="s">
        <v>127</v>
      </c>
      <c r="E144" s="207" t="s">
        <v>128</v>
      </c>
      <c r="F144" s="207">
        <v>0</v>
      </c>
    </row>
    <row r="145" spans="1:6">
      <c r="A145" s="207" t="s">
        <v>124</v>
      </c>
      <c r="B145" s="207" t="s">
        <v>41</v>
      </c>
      <c r="C145" s="207">
        <v>988100580</v>
      </c>
      <c r="D145" s="207" t="s">
        <v>129</v>
      </c>
      <c r="E145" s="207" t="s">
        <v>130</v>
      </c>
      <c r="F145" s="207">
        <v>0</v>
      </c>
    </row>
    <row r="146" spans="1:6">
      <c r="A146" s="207" t="s">
        <v>124</v>
      </c>
      <c r="B146" s="207" t="s">
        <v>41</v>
      </c>
      <c r="C146" s="207">
        <v>988100581</v>
      </c>
      <c r="D146" s="207" t="s">
        <v>131</v>
      </c>
      <c r="E146" s="207" t="s">
        <v>132</v>
      </c>
      <c r="F146" s="207">
        <v>0</v>
      </c>
    </row>
    <row r="147" spans="1:6">
      <c r="A147" s="207" t="s">
        <v>124</v>
      </c>
      <c r="B147" s="207" t="s">
        <v>41</v>
      </c>
      <c r="C147" s="207">
        <v>988100582</v>
      </c>
      <c r="D147" s="207" t="s">
        <v>133</v>
      </c>
      <c r="E147" s="207">
        <v>8997233270398</v>
      </c>
      <c r="F147" s="207">
        <v>0</v>
      </c>
    </row>
    <row r="148" spans="1:6">
      <c r="A148" s="207" t="s">
        <v>124</v>
      </c>
      <c r="B148" s="207" t="s">
        <v>41</v>
      </c>
      <c r="C148" s="207">
        <v>988100583</v>
      </c>
      <c r="D148" s="207" t="s">
        <v>134</v>
      </c>
      <c r="E148" s="207">
        <v>8997233270381</v>
      </c>
      <c r="F148" s="207">
        <v>0</v>
      </c>
    </row>
    <row r="149" spans="1:6">
      <c r="A149" s="207" t="s">
        <v>124</v>
      </c>
      <c r="B149" s="207" t="s">
        <v>41</v>
      </c>
      <c r="C149" s="207">
        <v>988100584</v>
      </c>
      <c r="D149" s="207" t="s">
        <v>135</v>
      </c>
      <c r="E149" s="207">
        <v>8997233270404</v>
      </c>
      <c r="F149" s="207">
        <v>0</v>
      </c>
    </row>
    <row r="150" spans="1:6">
      <c r="A150" s="207" t="s">
        <v>124</v>
      </c>
      <c r="B150" s="207" t="s">
        <v>41</v>
      </c>
      <c r="C150" s="207">
        <v>988100585</v>
      </c>
      <c r="D150" s="207" t="s">
        <v>136</v>
      </c>
      <c r="E150" s="207">
        <v>8997233270428</v>
      </c>
      <c r="F150" s="207">
        <v>0</v>
      </c>
    </row>
    <row r="151" spans="1:6">
      <c r="A151" s="207" t="s">
        <v>124</v>
      </c>
      <c r="B151" s="207" t="s">
        <v>41</v>
      </c>
      <c r="C151" s="207">
        <v>988100587</v>
      </c>
      <c r="D151" s="207" t="s">
        <v>137</v>
      </c>
      <c r="E151" s="207">
        <v>8997233270862</v>
      </c>
      <c r="F151" s="207">
        <v>0</v>
      </c>
    </row>
    <row r="152" spans="1:6">
      <c r="A152" s="207" t="s">
        <v>124</v>
      </c>
      <c r="B152" s="207" t="s">
        <v>41</v>
      </c>
      <c r="C152" s="207">
        <v>988100588</v>
      </c>
      <c r="D152" s="207" t="s">
        <v>138</v>
      </c>
      <c r="E152" s="207">
        <v>8997233270855</v>
      </c>
      <c r="F152" s="207">
        <v>0</v>
      </c>
    </row>
    <row r="153" spans="1:6">
      <c r="A153" s="207" t="s">
        <v>124</v>
      </c>
      <c r="B153" s="207" t="s">
        <v>41</v>
      </c>
      <c r="C153" s="207">
        <v>988100589</v>
      </c>
      <c r="D153" s="207" t="s">
        <v>139</v>
      </c>
      <c r="E153" s="207">
        <v>8997233270848</v>
      </c>
      <c r="F153" s="207">
        <v>0</v>
      </c>
    </row>
    <row r="154" spans="1:6">
      <c r="A154" s="207" t="s">
        <v>124</v>
      </c>
      <c r="B154" s="207" t="s">
        <v>41</v>
      </c>
      <c r="C154" s="207">
        <v>988100590</v>
      </c>
      <c r="D154" s="207" t="s">
        <v>140</v>
      </c>
      <c r="E154" s="207">
        <v>8997233270831</v>
      </c>
      <c r="F154" s="207">
        <v>0</v>
      </c>
    </row>
    <row r="155" spans="1:6">
      <c r="A155" s="207" t="s">
        <v>124</v>
      </c>
      <c r="B155" s="207" t="s">
        <v>41</v>
      </c>
      <c r="C155" s="207">
        <v>988100591</v>
      </c>
      <c r="D155" s="207" t="s">
        <v>141</v>
      </c>
      <c r="E155" s="207">
        <v>8997233270954</v>
      </c>
      <c r="F155" s="207">
        <v>0</v>
      </c>
    </row>
    <row r="156" spans="1:6">
      <c r="A156" s="207" t="s">
        <v>124</v>
      </c>
      <c r="B156" s="207" t="s">
        <v>41</v>
      </c>
      <c r="C156" s="207">
        <v>988100592</v>
      </c>
      <c r="D156" s="207" t="s">
        <v>142</v>
      </c>
      <c r="E156" s="207">
        <v>8997233270978</v>
      </c>
      <c r="F156" s="207">
        <v>0</v>
      </c>
    </row>
    <row r="157" spans="1:6">
      <c r="A157" s="207" t="s">
        <v>124</v>
      </c>
      <c r="B157" s="207" t="s">
        <v>41</v>
      </c>
      <c r="C157" s="207">
        <v>988100593</v>
      </c>
      <c r="D157" s="207" t="s">
        <v>143</v>
      </c>
      <c r="E157" s="207">
        <v>8997233270961</v>
      </c>
      <c r="F157" s="207">
        <v>0</v>
      </c>
    </row>
    <row r="158" spans="1:6">
      <c r="A158" s="207" t="s">
        <v>124</v>
      </c>
      <c r="B158" s="207" t="s">
        <v>41</v>
      </c>
      <c r="C158" s="207">
        <v>988100594</v>
      </c>
      <c r="D158" s="207" t="s">
        <v>144</v>
      </c>
      <c r="E158" s="207">
        <v>8997233270565</v>
      </c>
      <c r="F158" s="207">
        <v>0</v>
      </c>
    </row>
    <row r="159" spans="1:6">
      <c r="A159" s="207" t="s">
        <v>124</v>
      </c>
      <c r="B159" s="207" t="s">
        <v>41</v>
      </c>
      <c r="C159" s="207">
        <v>988100595</v>
      </c>
      <c r="D159" s="207" t="s">
        <v>145</v>
      </c>
      <c r="E159" s="207">
        <v>8997233270558</v>
      </c>
      <c r="F159" s="207">
        <v>0</v>
      </c>
    </row>
    <row r="160" spans="1:6">
      <c r="A160" s="207" t="s">
        <v>124</v>
      </c>
      <c r="B160" s="207" t="s">
        <v>41</v>
      </c>
      <c r="C160" s="207">
        <v>988100596</v>
      </c>
      <c r="D160" s="207" t="s">
        <v>146</v>
      </c>
      <c r="E160" s="207">
        <v>8997233270541</v>
      </c>
      <c r="F160" s="207">
        <v>0</v>
      </c>
    </row>
    <row r="161" spans="1:6">
      <c r="A161" s="207" t="s">
        <v>124</v>
      </c>
      <c r="B161" s="207" t="s">
        <v>41</v>
      </c>
      <c r="C161" s="207">
        <v>988100634</v>
      </c>
      <c r="D161" s="207" t="s">
        <v>147</v>
      </c>
      <c r="E161" s="207">
        <v>8997233270923</v>
      </c>
      <c r="F161" s="207">
        <v>0</v>
      </c>
    </row>
    <row r="162" spans="1:6">
      <c r="A162" s="207" t="s">
        <v>124</v>
      </c>
      <c r="B162" s="207" t="s">
        <v>41</v>
      </c>
      <c r="C162" s="207">
        <v>988100635</v>
      </c>
      <c r="D162" s="207" t="s">
        <v>148</v>
      </c>
      <c r="E162" s="207">
        <v>8997233270916</v>
      </c>
      <c r="F162" s="207">
        <v>0</v>
      </c>
    </row>
    <row r="163" spans="1:6">
      <c r="A163" s="207" t="s">
        <v>124</v>
      </c>
      <c r="B163" s="207" t="s">
        <v>41</v>
      </c>
      <c r="C163" s="207">
        <v>988100636</v>
      </c>
      <c r="D163" s="207" t="s">
        <v>149</v>
      </c>
      <c r="E163" s="207">
        <v>8997233270909</v>
      </c>
      <c r="F163" s="207">
        <v>0</v>
      </c>
    </row>
    <row r="164" spans="1:6">
      <c r="A164" s="207" t="s">
        <v>124</v>
      </c>
      <c r="B164" s="207" t="s">
        <v>41</v>
      </c>
      <c r="C164" s="207">
        <v>988100664</v>
      </c>
      <c r="D164" s="207" t="s">
        <v>150</v>
      </c>
      <c r="E164" s="207">
        <v>8997233271043</v>
      </c>
      <c r="F164" s="207">
        <v>0</v>
      </c>
    </row>
    <row r="165" spans="1:6">
      <c r="A165" s="207" t="s">
        <v>124</v>
      </c>
      <c r="B165" s="207" t="s">
        <v>41</v>
      </c>
      <c r="C165" s="207">
        <v>988100665</v>
      </c>
      <c r="D165" s="207" t="s">
        <v>151</v>
      </c>
      <c r="E165" s="207">
        <v>8997233271029</v>
      </c>
      <c r="F165" s="207">
        <v>0</v>
      </c>
    </row>
    <row r="166" spans="1:6">
      <c r="A166" s="207" t="s">
        <v>124</v>
      </c>
      <c r="B166" s="207" t="s">
        <v>41</v>
      </c>
      <c r="C166" s="207">
        <v>988100666</v>
      </c>
      <c r="D166" s="207" t="s">
        <v>152</v>
      </c>
      <c r="E166" s="207">
        <v>8997233271036</v>
      </c>
      <c r="F166" s="207">
        <v>0</v>
      </c>
    </row>
    <row r="167" spans="1:6">
      <c r="A167" s="207" t="s">
        <v>25</v>
      </c>
      <c r="B167" s="207" t="s">
        <v>41</v>
      </c>
      <c r="C167" s="207">
        <v>988100469</v>
      </c>
      <c r="D167" s="207" t="s">
        <v>153</v>
      </c>
      <c r="E167" s="207" t="s">
        <v>154</v>
      </c>
      <c r="F167" s="207">
        <v>20</v>
      </c>
    </row>
    <row r="168" spans="1:6">
      <c r="A168" s="207" t="s">
        <v>40</v>
      </c>
      <c r="B168" s="207" t="s">
        <v>41</v>
      </c>
      <c r="C168" s="207">
        <v>988100668</v>
      </c>
      <c r="D168" s="207" t="s">
        <v>155</v>
      </c>
      <c r="E168" s="207" t="s">
        <v>156</v>
      </c>
      <c r="F168" s="207">
        <v>0</v>
      </c>
    </row>
    <row r="169" spans="1:6">
      <c r="A169" s="207" t="s">
        <v>25</v>
      </c>
      <c r="B169" s="207" t="s">
        <v>7</v>
      </c>
      <c r="C169" s="207">
        <v>500009</v>
      </c>
      <c r="D169" s="207" t="s">
        <v>157</v>
      </c>
      <c r="E169" s="207">
        <v>8998685021002</v>
      </c>
      <c r="F169" s="207">
        <v>0</v>
      </c>
    </row>
    <row r="170" spans="1:6">
      <c r="A170" s="207" t="s">
        <v>25</v>
      </c>
      <c r="B170" s="207" t="s">
        <v>7</v>
      </c>
      <c r="C170" s="207">
        <v>500056</v>
      </c>
      <c r="D170" s="207" t="s">
        <v>158</v>
      </c>
      <c r="E170" s="207">
        <v>8998685051306</v>
      </c>
      <c r="F170" s="207">
        <v>0</v>
      </c>
    </row>
    <row r="171" spans="1:6">
      <c r="A171" s="207" t="s">
        <v>89</v>
      </c>
      <c r="B171" s="207" t="s">
        <v>7</v>
      </c>
      <c r="C171" s="207">
        <v>988100670</v>
      </c>
      <c r="D171" s="207" t="s">
        <v>160</v>
      </c>
      <c r="E171" s="207">
        <v>8998866820738</v>
      </c>
      <c r="F171" s="207">
        <v>0</v>
      </c>
    </row>
    <row r="172" spans="1:6">
      <c r="A172" s="207" t="s">
        <v>89</v>
      </c>
      <c r="B172" s="207" t="s">
        <v>7</v>
      </c>
      <c r="C172" s="207">
        <v>988100671</v>
      </c>
      <c r="D172" s="207" t="s">
        <v>161</v>
      </c>
      <c r="E172" s="207">
        <v>8998866820714</v>
      </c>
      <c r="F172" s="207">
        <v>0</v>
      </c>
    </row>
    <row r="173" spans="1:6">
      <c r="A173" s="207" t="s">
        <v>6</v>
      </c>
      <c r="B173" s="207" t="s">
        <v>7</v>
      </c>
      <c r="C173" s="207">
        <v>100043</v>
      </c>
      <c r="D173" s="207" t="s">
        <v>162</v>
      </c>
      <c r="E173" s="207">
        <v>8996001600221</v>
      </c>
      <c r="F173" s="207">
        <v>22</v>
      </c>
    </row>
    <row r="174" spans="1:6">
      <c r="A174" s="207" t="s">
        <v>6</v>
      </c>
      <c r="B174" s="207" t="s">
        <v>7</v>
      </c>
      <c r="C174" s="207">
        <v>100041</v>
      </c>
      <c r="D174" s="207" t="s">
        <v>163</v>
      </c>
      <c r="E174" s="207">
        <v>8996001600146</v>
      </c>
      <c r="F174" s="207">
        <v>7</v>
      </c>
    </row>
    <row r="175" spans="1:6">
      <c r="A175" s="207" t="s">
        <v>6</v>
      </c>
      <c r="B175" s="207" t="s">
        <v>7</v>
      </c>
      <c r="C175" s="207">
        <v>988100673</v>
      </c>
      <c r="D175" s="207" t="s">
        <v>213</v>
      </c>
      <c r="E175" s="207">
        <v>8991749000005</v>
      </c>
      <c r="F175" s="207">
        <v>0</v>
      </c>
    </row>
    <row r="176" spans="1:6">
      <c r="A176" s="207" t="s">
        <v>6</v>
      </c>
      <c r="B176" s="207" t="s">
        <v>7</v>
      </c>
      <c r="C176" s="207">
        <v>988100674</v>
      </c>
      <c r="D176" s="207" t="s">
        <v>214</v>
      </c>
      <c r="E176" s="207">
        <v>8991749000043</v>
      </c>
      <c r="F176" s="207">
        <v>0</v>
      </c>
    </row>
    <row r="177" spans="1:6">
      <c r="A177" s="207" t="s">
        <v>6</v>
      </c>
      <c r="B177" s="207" t="s">
        <v>7</v>
      </c>
      <c r="C177" s="207">
        <v>988100675</v>
      </c>
      <c r="D177" s="207" t="s">
        <v>215</v>
      </c>
      <c r="E177" s="207">
        <v>8991749000012</v>
      </c>
      <c r="F177" s="207">
        <v>0</v>
      </c>
    </row>
    <row r="178" spans="1:6">
      <c r="A178" s="207" t="s">
        <v>6</v>
      </c>
      <c r="B178" s="207" t="s">
        <v>7</v>
      </c>
      <c r="C178" s="207">
        <v>988100676</v>
      </c>
      <c r="D178" s="207" t="s">
        <v>216</v>
      </c>
      <c r="E178" s="207">
        <v>8991749000036</v>
      </c>
      <c r="F178" s="207">
        <v>2</v>
      </c>
    </row>
    <row r="179" spans="1:6">
      <c r="A179" s="207" t="s">
        <v>6</v>
      </c>
      <c r="B179" s="207" t="s">
        <v>7</v>
      </c>
      <c r="C179" s="207">
        <v>100034</v>
      </c>
      <c r="D179" s="207" t="s">
        <v>165</v>
      </c>
      <c r="E179" s="207">
        <v>8997009510055</v>
      </c>
      <c r="F179" s="207">
        <v>0</v>
      </c>
    </row>
    <row r="180" spans="1:6">
      <c r="A180" s="207" t="s">
        <v>6</v>
      </c>
      <c r="B180" s="207" t="s">
        <v>7</v>
      </c>
      <c r="C180" s="207">
        <v>100035</v>
      </c>
      <c r="D180" s="207" t="s">
        <v>166</v>
      </c>
      <c r="E180" s="207">
        <v>8997009510017</v>
      </c>
      <c r="F180" s="207">
        <v>3</v>
      </c>
    </row>
    <row r="181" spans="1:6">
      <c r="A181" s="207" t="s">
        <v>6</v>
      </c>
      <c r="B181" s="207" t="s">
        <v>7</v>
      </c>
      <c r="C181" s="207">
        <v>100037</v>
      </c>
      <c r="D181" s="207" t="s">
        <v>167</v>
      </c>
      <c r="E181" s="207">
        <v>8997009510116</v>
      </c>
      <c r="F181" s="207">
        <v>7</v>
      </c>
    </row>
    <row r="182" spans="1:6">
      <c r="A182" s="207" t="s">
        <v>6</v>
      </c>
      <c r="B182" s="207" t="s">
        <v>7</v>
      </c>
      <c r="C182" s="207">
        <v>100030</v>
      </c>
      <c r="D182" s="207" t="s">
        <v>168</v>
      </c>
      <c r="E182" s="207">
        <v>8997009510123</v>
      </c>
      <c r="F182" s="207">
        <v>7</v>
      </c>
    </row>
    <row r="183" spans="1:6">
      <c r="A183" s="207" t="s">
        <v>25</v>
      </c>
      <c r="B183" s="207" t="s">
        <v>41</v>
      </c>
      <c r="C183" s="207">
        <v>988100677</v>
      </c>
      <c r="D183" s="207" t="s">
        <v>169</v>
      </c>
      <c r="E183" s="207">
        <v>44788233</v>
      </c>
      <c r="F183" s="207">
        <v>0</v>
      </c>
    </row>
    <row r="184" spans="1:6">
      <c r="A184" s="207" t="s">
        <v>25</v>
      </c>
      <c r="B184" s="207" t="s">
        <v>41</v>
      </c>
      <c r="C184" s="207">
        <v>988100678</v>
      </c>
      <c r="D184" s="207" t="s">
        <v>170</v>
      </c>
      <c r="E184" s="207">
        <v>44758233</v>
      </c>
      <c r="F184" s="207">
        <v>0</v>
      </c>
    </row>
    <row r="185" spans="1:6">
      <c r="A185" s="207" t="s">
        <v>6</v>
      </c>
      <c r="B185" s="207" t="s">
        <v>7</v>
      </c>
      <c r="C185" s="207">
        <v>988100449</v>
      </c>
      <c r="D185" s="207" t="s">
        <v>171</v>
      </c>
      <c r="E185" s="207">
        <v>8996001600597</v>
      </c>
      <c r="F185" s="207">
        <v>0</v>
      </c>
    </row>
    <row r="186" spans="1:6">
      <c r="A186" s="207" t="s">
        <v>6</v>
      </c>
      <c r="B186" s="207" t="s">
        <v>41</v>
      </c>
      <c r="C186" s="207">
        <v>988100680</v>
      </c>
      <c r="D186" s="207" t="s">
        <v>172</v>
      </c>
      <c r="E186" s="207">
        <v>8997231600371</v>
      </c>
      <c r="F186" s="207">
        <v>0</v>
      </c>
    </row>
    <row r="187" spans="1:6">
      <c r="A187" s="207" t="s">
        <v>6</v>
      </c>
      <c r="B187" s="207" t="s">
        <v>7</v>
      </c>
      <c r="C187" s="207">
        <v>988100681</v>
      </c>
      <c r="D187" s="207" t="s">
        <v>217</v>
      </c>
      <c r="E187" s="207">
        <v>8991749000029</v>
      </c>
      <c r="F187" s="207">
        <v>0</v>
      </c>
    </row>
    <row r="188" spans="1:6">
      <c r="A188" s="207" t="s">
        <v>6</v>
      </c>
      <c r="B188" s="207" t="s">
        <v>41</v>
      </c>
      <c r="C188" s="207">
        <v>988100686</v>
      </c>
      <c r="D188" s="207" t="s">
        <v>173</v>
      </c>
      <c r="E188" s="207">
        <v>8997231600081</v>
      </c>
      <c r="F188" s="207">
        <v>0</v>
      </c>
    </row>
    <row r="189" spans="1:6">
      <c r="A189" s="207" t="s">
        <v>25</v>
      </c>
      <c r="B189" s="207" t="s">
        <v>41</v>
      </c>
      <c r="C189" s="207">
        <v>988100660</v>
      </c>
      <c r="D189" s="207" t="s">
        <v>175</v>
      </c>
      <c r="E189" s="207" t="s">
        <v>176</v>
      </c>
      <c r="F189" s="207">
        <v>25</v>
      </c>
    </row>
    <row r="190" spans="1:6">
      <c r="A190" s="207" t="s">
        <v>25</v>
      </c>
      <c r="B190" s="207" t="s">
        <v>7</v>
      </c>
      <c r="C190" s="207">
        <v>990089</v>
      </c>
      <c r="D190" s="207" t="s">
        <v>159</v>
      </c>
      <c r="E190" s="207">
        <v>8998685011003</v>
      </c>
      <c r="F190" s="207">
        <v>0</v>
      </c>
    </row>
    <row r="191" spans="1:6">
      <c r="A191" s="207" t="s">
        <v>25</v>
      </c>
      <c r="B191" s="207" t="s">
        <v>7</v>
      </c>
      <c r="C191" s="207">
        <v>988100688</v>
      </c>
      <c r="D191" s="207" t="s">
        <v>177</v>
      </c>
      <c r="E191" s="207">
        <v>8994075240725</v>
      </c>
      <c r="F191" s="207">
        <v>0</v>
      </c>
    </row>
    <row r="192" spans="1:6">
      <c r="A192" s="207" t="s">
        <v>25</v>
      </c>
      <c r="B192" s="207" t="s">
        <v>7</v>
      </c>
      <c r="C192" s="207">
        <v>988100689</v>
      </c>
      <c r="D192" s="207" t="s">
        <v>178</v>
      </c>
      <c r="E192" s="207">
        <v>8994075240657</v>
      </c>
      <c r="F192" s="207">
        <v>0</v>
      </c>
    </row>
    <row r="193" spans="1:6">
      <c r="A193" s="207" t="s">
        <v>25</v>
      </c>
      <c r="B193" s="207" t="s">
        <v>7</v>
      </c>
      <c r="C193" s="207">
        <v>988100690</v>
      </c>
      <c r="D193" s="207" t="s">
        <v>179</v>
      </c>
      <c r="E193" s="207">
        <v>8994075240732</v>
      </c>
      <c r="F193" s="207">
        <v>0</v>
      </c>
    </row>
    <row r="194" spans="1:6">
      <c r="A194" s="207" t="s">
        <v>25</v>
      </c>
      <c r="B194" s="207" t="s">
        <v>7</v>
      </c>
      <c r="C194" s="207">
        <v>988100691</v>
      </c>
      <c r="D194" s="207" t="s">
        <v>180</v>
      </c>
      <c r="E194" s="207">
        <v>8994075240749</v>
      </c>
      <c r="F194" s="207">
        <v>0</v>
      </c>
    </row>
    <row r="195" spans="1:6">
      <c r="A195" s="207" t="s">
        <v>6</v>
      </c>
      <c r="B195" s="207" t="s">
        <v>7</v>
      </c>
      <c r="C195" s="207">
        <v>988100630</v>
      </c>
      <c r="D195" s="207" t="s">
        <v>211</v>
      </c>
      <c r="E195" s="207">
        <v>8996001600849</v>
      </c>
      <c r="F195" s="207">
        <v>4</v>
      </c>
    </row>
    <row r="196" spans="1:6">
      <c r="A196" s="207" t="s">
        <v>25</v>
      </c>
      <c r="B196" s="207" t="s">
        <v>7</v>
      </c>
      <c r="C196" s="207">
        <v>988100692</v>
      </c>
      <c r="D196" s="207" t="s">
        <v>814</v>
      </c>
      <c r="E196" s="207">
        <v>8990044000222</v>
      </c>
      <c r="F196" s="207">
        <v>0</v>
      </c>
    </row>
    <row r="197" spans="1:6">
      <c r="A197" s="207" t="s">
        <v>25</v>
      </c>
      <c r="B197" s="207" t="s">
        <v>7</v>
      </c>
      <c r="C197" s="207">
        <v>988100693</v>
      </c>
      <c r="D197" s="207" t="s">
        <v>815</v>
      </c>
      <c r="E197" s="207">
        <v>8990044000239</v>
      </c>
      <c r="F197" s="207">
        <v>0</v>
      </c>
    </row>
    <row r="198" spans="1:6">
      <c r="A198" s="207" t="s">
        <v>25</v>
      </c>
      <c r="B198" s="207" t="s">
        <v>7</v>
      </c>
      <c r="C198" s="207">
        <v>200292</v>
      </c>
      <c r="D198" s="207" t="s">
        <v>183</v>
      </c>
      <c r="E198" s="207">
        <v>8851019210223</v>
      </c>
      <c r="F198" s="207">
        <v>0</v>
      </c>
    </row>
    <row r="199" spans="1:6">
      <c r="A199" s="207" t="s">
        <v>25</v>
      </c>
      <c r="B199" s="207" t="s">
        <v>7</v>
      </c>
      <c r="C199" s="207">
        <v>200415</v>
      </c>
      <c r="D199" s="207" t="s">
        <v>184</v>
      </c>
      <c r="E199" s="207">
        <v>8851019210292</v>
      </c>
      <c r="F199" s="207">
        <v>0</v>
      </c>
    </row>
    <row r="200" spans="1:6">
      <c r="A200" s="207" t="s">
        <v>25</v>
      </c>
      <c r="B200" s="207" t="s">
        <v>41</v>
      </c>
      <c r="C200" s="207">
        <v>988100694</v>
      </c>
      <c r="D200" s="207" t="s">
        <v>816</v>
      </c>
      <c r="E200" s="207" t="s">
        <v>817</v>
      </c>
      <c r="F200" s="207">
        <v>9</v>
      </c>
    </row>
    <row r="201" spans="1:6">
      <c r="A201" s="207" t="s">
        <v>25</v>
      </c>
      <c r="B201" s="207" t="s">
        <v>41</v>
      </c>
      <c r="C201" s="207">
        <v>988100695</v>
      </c>
      <c r="D201" s="207" t="s">
        <v>818</v>
      </c>
      <c r="E201" s="207" t="s">
        <v>819</v>
      </c>
      <c r="F201" s="207">
        <v>0</v>
      </c>
    </row>
    <row r="202" spans="1:6">
      <c r="A202" s="207" t="s">
        <v>25</v>
      </c>
      <c r="B202" s="207" t="s">
        <v>41</v>
      </c>
      <c r="C202" s="207">
        <v>988100696</v>
      </c>
      <c r="D202" s="207" t="s">
        <v>820</v>
      </c>
      <c r="E202" s="207" t="s">
        <v>821</v>
      </c>
      <c r="F202" s="207">
        <v>5</v>
      </c>
    </row>
    <row r="203" spans="1:6">
      <c r="A203" s="207" t="s">
        <v>25</v>
      </c>
      <c r="B203" s="207" t="s">
        <v>41</v>
      </c>
      <c r="C203" s="207">
        <v>988100697</v>
      </c>
      <c r="D203" s="207" t="s">
        <v>822</v>
      </c>
      <c r="E203" s="207" t="s">
        <v>823</v>
      </c>
      <c r="F203" s="207">
        <v>0</v>
      </c>
    </row>
    <row r="204" spans="1:6">
      <c r="A204" s="207" t="s">
        <v>25</v>
      </c>
      <c r="B204" s="207" t="s">
        <v>41</v>
      </c>
      <c r="C204" s="207">
        <v>988100698</v>
      </c>
      <c r="D204" s="207" t="s">
        <v>824</v>
      </c>
      <c r="E204" s="207" t="s">
        <v>825</v>
      </c>
      <c r="F204" s="207">
        <v>5</v>
      </c>
    </row>
    <row r="205" spans="1:6">
      <c r="A205" s="207" t="s">
        <v>25</v>
      </c>
      <c r="B205" s="207" t="s">
        <v>41</v>
      </c>
      <c r="C205" s="207">
        <v>988100699</v>
      </c>
      <c r="D205" s="207" t="s">
        <v>826</v>
      </c>
      <c r="E205" s="207" t="s">
        <v>827</v>
      </c>
      <c r="F205" s="207">
        <v>4</v>
      </c>
    </row>
    <row r="206" spans="1:6">
      <c r="A206" s="207" t="s">
        <v>25</v>
      </c>
      <c r="B206" s="207" t="s">
        <v>41</v>
      </c>
      <c r="C206" s="207">
        <v>988100700</v>
      </c>
      <c r="D206" s="207" t="s">
        <v>828</v>
      </c>
      <c r="E206" s="207" t="s">
        <v>829</v>
      </c>
      <c r="F206" s="207">
        <v>9</v>
      </c>
    </row>
    <row r="207" spans="1:6">
      <c r="A207" s="207" t="s">
        <v>25</v>
      </c>
      <c r="B207" s="207" t="s">
        <v>41</v>
      </c>
      <c r="C207" s="207">
        <v>988100701</v>
      </c>
      <c r="D207" s="207" t="s">
        <v>209</v>
      </c>
      <c r="E207" s="207" t="s">
        <v>210</v>
      </c>
      <c r="F207" s="207">
        <v>0</v>
      </c>
    </row>
    <row r="208" spans="1:6">
      <c r="A208" s="207" t="s">
        <v>124</v>
      </c>
      <c r="B208" s="207" t="s">
        <v>7</v>
      </c>
      <c r="C208" s="207">
        <v>990114</v>
      </c>
      <c r="D208" s="207" t="s">
        <v>194</v>
      </c>
      <c r="E208" s="207">
        <v>8992931005099</v>
      </c>
      <c r="F208" s="207">
        <v>44</v>
      </c>
    </row>
    <row r="209" spans="1:6">
      <c r="A209" s="207" t="s">
        <v>40</v>
      </c>
      <c r="B209" s="207" t="s">
        <v>41</v>
      </c>
      <c r="C209" s="207">
        <v>990097</v>
      </c>
      <c r="D209" s="207" t="s">
        <v>218</v>
      </c>
      <c r="E209" s="207">
        <v>8997013460988</v>
      </c>
      <c r="F209" s="207">
        <v>26</v>
      </c>
    </row>
    <row r="210" spans="1:6">
      <c r="A210" s="207" t="s">
        <v>6</v>
      </c>
      <c r="B210" s="207" t="s">
        <v>7</v>
      </c>
      <c r="C210" s="207">
        <v>988100489</v>
      </c>
      <c r="D210" s="207" t="s">
        <v>212</v>
      </c>
      <c r="E210" s="207">
        <v>8996001600665</v>
      </c>
      <c r="F210" s="207">
        <v>0</v>
      </c>
    </row>
    <row r="211" spans="1:6">
      <c r="A211" s="207" t="s">
        <v>25</v>
      </c>
      <c r="B211" s="207" t="s">
        <v>7</v>
      </c>
      <c r="C211" s="207">
        <v>200346</v>
      </c>
      <c r="D211" s="207" t="s">
        <v>219</v>
      </c>
      <c r="E211" s="207">
        <v>89686609004</v>
      </c>
      <c r="F211" s="207">
        <v>132</v>
      </c>
    </row>
    <row r="212" spans="1:6">
      <c r="A212" s="207" t="s">
        <v>25</v>
      </c>
      <c r="B212" s="207" t="s">
        <v>7</v>
      </c>
      <c r="C212" s="207">
        <v>988100705</v>
      </c>
      <c r="D212" s="207" t="s">
        <v>830</v>
      </c>
      <c r="E212" s="207">
        <v>89686732009</v>
      </c>
      <c r="F212" s="207">
        <v>0</v>
      </c>
    </row>
    <row r="213" spans="1:6">
      <c r="A213" s="207" t="s">
        <v>25</v>
      </c>
      <c r="B213" s="207" t="s">
        <v>7</v>
      </c>
      <c r="C213" s="207">
        <v>988100706</v>
      </c>
      <c r="D213" s="207" t="s">
        <v>234</v>
      </c>
      <c r="E213" s="207">
        <v>8998866820721</v>
      </c>
      <c r="F213" s="207">
        <v>2</v>
      </c>
    </row>
    <row r="214" spans="1:6">
      <c r="A214" s="207" t="s">
        <v>40</v>
      </c>
      <c r="B214" s="207" t="s">
        <v>41</v>
      </c>
      <c r="C214" s="207">
        <v>910052</v>
      </c>
      <c r="D214" s="207" t="s">
        <v>831</v>
      </c>
      <c r="E214" s="207">
        <v>6949070600533</v>
      </c>
      <c r="F214" s="207">
        <v>2</v>
      </c>
    </row>
    <row r="215" spans="1:6">
      <c r="A215" s="207" t="s">
        <v>40</v>
      </c>
      <c r="B215" s="207" t="s">
        <v>41</v>
      </c>
      <c r="C215" s="207">
        <v>910049</v>
      </c>
      <c r="D215" s="207" t="s">
        <v>832</v>
      </c>
      <c r="E215" s="207">
        <v>6949070600243</v>
      </c>
      <c r="F215" s="207">
        <v>3</v>
      </c>
    </row>
    <row r="216" spans="1:6">
      <c r="A216" s="207" t="s">
        <v>40</v>
      </c>
      <c r="B216" s="207" t="s">
        <v>41</v>
      </c>
      <c r="C216" s="207">
        <v>910053</v>
      </c>
      <c r="D216" s="207" t="s">
        <v>833</v>
      </c>
      <c r="E216" s="207">
        <v>6949070600502</v>
      </c>
      <c r="F216" s="207">
        <v>2</v>
      </c>
    </row>
    <row r="217" spans="1:6">
      <c r="A217" s="207" t="s">
        <v>40</v>
      </c>
      <c r="B217" s="207" t="s">
        <v>41</v>
      </c>
      <c r="C217" s="207">
        <v>910051</v>
      </c>
      <c r="D217" s="207" t="s">
        <v>834</v>
      </c>
      <c r="E217" s="207">
        <v>6949070600649</v>
      </c>
      <c r="F217" s="207">
        <v>2</v>
      </c>
    </row>
    <row r="218" spans="1:6">
      <c r="A218" s="207" t="s">
        <v>40</v>
      </c>
      <c r="B218" s="207" t="s">
        <v>41</v>
      </c>
      <c r="C218" s="207">
        <v>910055</v>
      </c>
      <c r="D218" s="207" t="s">
        <v>835</v>
      </c>
      <c r="E218" s="207">
        <v>6949070603015</v>
      </c>
      <c r="F218" s="207">
        <v>6</v>
      </c>
    </row>
    <row r="219" spans="1:6">
      <c r="A219" s="207" t="s">
        <v>25</v>
      </c>
      <c r="B219" s="207" t="s">
        <v>7</v>
      </c>
      <c r="C219" s="207">
        <v>988100707</v>
      </c>
      <c r="D219" s="207" t="s">
        <v>233</v>
      </c>
      <c r="E219" s="207">
        <v>8994755031193</v>
      </c>
      <c r="F219" s="207">
        <v>0</v>
      </c>
    </row>
    <row r="220" spans="1:6">
      <c r="A220" s="207" t="s">
        <v>40</v>
      </c>
      <c r="B220" s="207" t="s">
        <v>41</v>
      </c>
      <c r="C220" s="207">
        <v>988100709</v>
      </c>
      <c r="D220" s="207" t="s">
        <v>236</v>
      </c>
      <c r="E220" s="207" t="s">
        <v>237</v>
      </c>
      <c r="F220" s="207">
        <v>0</v>
      </c>
    </row>
    <row r="221" spans="1:6">
      <c r="A221" s="207" t="s">
        <v>25</v>
      </c>
      <c r="B221" s="207" t="s">
        <v>41</v>
      </c>
      <c r="C221" s="207">
        <v>988100708</v>
      </c>
      <c r="D221" s="207" t="s">
        <v>235</v>
      </c>
      <c r="E221" s="207">
        <v>3649993997444</v>
      </c>
      <c r="F221" s="207">
        <v>0</v>
      </c>
    </row>
    <row r="222" spans="1:6">
      <c r="A222" s="207" t="s">
        <v>6</v>
      </c>
      <c r="B222" s="207" t="s">
        <v>7</v>
      </c>
      <c r="C222" s="207">
        <v>988100714</v>
      </c>
      <c r="D222" s="207" t="s">
        <v>560</v>
      </c>
      <c r="E222" s="207">
        <v>8997218380128</v>
      </c>
      <c r="F222" s="207">
        <v>39</v>
      </c>
    </row>
    <row r="223" spans="1:6">
      <c r="A223" s="207" t="s">
        <v>6</v>
      </c>
      <c r="B223" s="207" t="s">
        <v>7</v>
      </c>
      <c r="C223" s="207">
        <v>988100715</v>
      </c>
      <c r="D223" s="207" t="s">
        <v>561</v>
      </c>
      <c r="E223" s="207">
        <v>8997218380340</v>
      </c>
      <c r="F223" s="207">
        <v>47</v>
      </c>
    </row>
    <row r="224" spans="1:6">
      <c r="A224" s="207" t="s">
        <v>25</v>
      </c>
      <c r="B224" s="207" t="s">
        <v>7</v>
      </c>
      <c r="C224" s="207">
        <v>988100716</v>
      </c>
      <c r="D224" s="207" t="s">
        <v>244</v>
      </c>
      <c r="E224" s="207">
        <v>9555030107614</v>
      </c>
      <c r="F224" s="207">
        <v>0</v>
      </c>
    </row>
    <row r="225" spans="1:6">
      <c r="A225" s="207" t="s">
        <v>25</v>
      </c>
      <c r="B225" s="207" t="s">
        <v>7</v>
      </c>
      <c r="C225" s="207">
        <v>988100717</v>
      </c>
      <c r="D225" s="207" t="s">
        <v>562</v>
      </c>
      <c r="E225" s="207" t="s">
        <v>787</v>
      </c>
      <c r="F225" s="207">
        <v>0</v>
      </c>
    </row>
    <row r="226" spans="1:6">
      <c r="A226" s="207" t="s">
        <v>25</v>
      </c>
      <c r="B226" s="207" t="s">
        <v>7</v>
      </c>
      <c r="C226" s="207">
        <v>988100718</v>
      </c>
      <c r="D226" s="207" t="s">
        <v>563</v>
      </c>
      <c r="E226" s="207" t="s">
        <v>788</v>
      </c>
      <c r="F226" s="207">
        <v>0</v>
      </c>
    </row>
    <row r="227" spans="1:6">
      <c r="A227" s="207" t="s">
        <v>25</v>
      </c>
      <c r="B227" s="207" t="s">
        <v>7</v>
      </c>
      <c r="C227" s="207">
        <v>988100725</v>
      </c>
      <c r="D227" s="207" t="s">
        <v>728</v>
      </c>
      <c r="E227" s="207">
        <v>8993004788857</v>
      </c>
      <c r="F227" s="207">
        <v>0</v>
      </c>
    </row>
    <row r="228" spans="1:6">
      <c r="A228" s="207" t="s">
        <v>25</v>
      </c>
      <c r="B228" s="207" t="s">
        <v>7</v>
      </c>
      <c r="C228" s="207">
        <v>200383</v>
      </c>
      <c r="D228" s="207" t="s">
        <v>566</v>
      </c>
      <c r="E228" s="207">
        <v>8996001317020</v>
      </c>
      <c r="F228" s="207">
        <v>0</v>
      </c>
    </row>
    <row r="229" spans="1:6">
      <c r="A229" s="207" t="s">
        <v>25</v>
      </c>
      <c r="B229" s="207" t="s">
        <v>7</v>
      </c>
      <c r="C229" s="207">
        <v>988100721</v>
      </c>
      <c r="D229" s="207" t="s">
        <v>567</v>
      </c>
      <c r="E229" s="207">
        <v>622210515285</v>
      </c>
      <c r="F229" s="207">
        <v>0</v>
      </c>
    </row>
    <row r="230" spans="1:6">
      <c r="A230" s="207" t="s">
        <v>25</v>
      </c>
      <c r="B230" s="207" t="s">
        <v>7</v>
      </c>
      <c r="C230" s="207">
        <v>988100722</v>
      </c>
      <c r="D230" s="207" t="s">
        <v>269</v>
      </c>
      <c r="E230" s="207">
        <v>622210515278</v>
      </c>
      <c r="F230" s="207">
        <v>0</v>
      </c>
    </row>
    <row r="231" spans="1:6">
      <c r="A231" s="207" t="s">
        <v>25</v>
      </c>
      <c r="B231" s="207" t="s">
        <v>7</v>
      </c>
      <c r="C231" s="207">
        <v>988100724</v>
      </c>
      <c r="D231" s="207" t="s">
        <v>569</v>
      </c>
      <c r="E231" s="207">
        <v>8992741902265</v>
      </c>
      <c r="F231" s="207">
        <v>0</v>
      </c>
    </row>
    <row r="232" spans="1:6">
      <c r="A232" s="207" t="s">
        <v>25</v>
      </c>
      <c r="B232" s="207" t="s">
        <v>7</v>
      </c>
      <c r="C232" s="207">
        <v>988100726</v>
      </c>
      <c r="D232" s="207" t="s">
        <v>729</v>
      </c>
      <c r="E232" s="207">
        <v>8992741902258</v>
      </c>
      <c r="F232" s="207">
        <v>0</v>
      </c>
    </row>
    <row r="233" spans="1:6">
      <c r="A233" s="207" t="s">
        <v>25</v>
      </c>
      <c r="B233" s="207" t="s">
        <v>41</v>
      </c>
      <c r="C233" s="207">
        <v>988100727</v>
      </c>
      <c r="D233" s="207" t="s">
        <v>245</v>
      </c>
      <c r="E233" s="207" t="s">
        <v>246</v>
      </c>
      <c r="F233" s="207">
        <v>1</v>
      </c>
    </row>
    <row r="234" spans="1:6">
      <c r="A234" s="207" t="s">
        <v>25</v>
      </c>
      <c r="B234" s="207" t="s">
        <v>41</v>
      </c>
      <c r="C234" s="207">
        <v>988100737</v>
      </c>
      <c r="D234" s="207" t="s">
        <v>248</v>
      </c>
      <c r="E234" s="207" t="s">
        <v>249</v>
      </c>
      <c r="F234" s="207">
        <v>5</v>
      </c>
    </row>
    <row r="235" spans="1:6">
      <c r="A235" s="207" t="s">
        <v>6</v>
      </c>
      <c r="B235" s="207" t="s">
        <v>7</v>
      </c>
      <c r="C235" s="207">
        <v>988100738</v>
      </c>
      <c r="D235" s="207" t="s">
        <v>251</v>
      </c>
      <c r="E235" s="207">
        <v>8991749000135</v>
      </c>
      <c r="F235" s="207">
        <v>0</v>
      </c>
    </row>
    <row r="236" spans="1:6">
      <c r="A236" s="207" t="s">
        <v>40</v>
      </c>
      <c r="B236" s="207" t="s">
        <v>41</v>
      </c>
      <c r="C236" s="207">
        <v>988100739</v>
      </c>
      <c r="D236" s="207" t="s">
        <v>262</v>
      </c>
      <c r="E236" s="207">
        <v>985225070116</v>
      </c>
      <c r="F236" s="207">
        <v>0</v>
      </c>
    </row>
    <row r="237" spans="1:6">
      <c r="A237" s="207" t="s">
        <v>25</v>
      </c>
      <c r="B237" s="207" t="s">
        <v>7</v>
      </c>
      <c r="C237" s="207">
        <v>988100016</v>
      </c>
      <c r="D237" s="207" t="s">
        <v>836</v>
      </c>
      <c r="E237" s="207">
        <v>8886013300601</v>
      </c>
      <c r="F237" s="207">
        <v>0</v>
      </c>
    </row>
    <row r="238" spans="1:6">
      <c r="A238" s="207" t="s">
        <v>25</v>
      </c>
      <c r="B238" s="207" t="s">
        <v>7</v>
      </c>
      <c r="C238" s="207">
        <v>200347</v>
      </c>
      <c r="D238" s="207" t="s">
        <v>270</v>
      </c>
      <c r="E238" s="207"/>
      <c r="F238" s="207">
        <v>0</v>
      </c>
    </row>
    <row r="239" spans="1:6">
      <c r="A239" s="207" t="s">
        <v>25</v>
      </c>
      <c r="B239" s="207" t="s">
        <v>7</v>
      </c>
      <c r="C239" s="207">
        <v>988100734</v>
      </c>
      <c r="D239" s="207" t="s">
        <v>576</v>
      </c>
      <c r="E239" s="207">
        <v>8994504102129</v>
      </c>
      <c r="F239" s="207">
        <v>0</v>
      </c>
    </row>
    <row r="240" spans="1:6">
      <c r="A240" s="207" t="s">
        <v>25</v>
      </c>
      <c r="B240" s="207" t="s">
        <v>7</v>
      </c>
      <c r="C240" s="207">
        <v>988100487</v>
      </c>
      <c r="D240" s="207" t="s">
        <v>837</v>
      </c>
      <c r="E240" s="207"/>
      <c r="F240" s="207">
        <v>0</v>
      </c>
    </row>
    <row r="241" spans="1:6">
      <c r="A241" s="207" t="s">
        <v>25</v>
      </c>
      <c r="B241" s="207" t="s">
        <v>7</v>
      </c>
      <c r="C241" s="207">
        <v>988100736</v>
      </c>
      <c r="D241" s="207" t="s">
        <v>578</v>
      </c>
      <c r="E241" s="207"/>
      <c r="F241" s="207">
        <v>0</v>
      </c>
    </row>
    <row r="242" spans="1:6">
      <c r="A242" s="207" t="s">
        <v>25</v>
      </c>
      <c r="B242" s="207" t="s">
        <v>7</v>
      </c>
      <c r="C242" s="207">
        <v>988100046</v>
      </c>
      <c r="D242" s="207" t="s">
        <v>266</v>
      </c>
      <c r="E242" s="207">
        <v>8993039242522</v>
      </c>
      <c r="F242" s="207">
        <v>19</v>
      </c>
    </row>
    <row r="243" spans="1:6">
      <c r="A243" s="207" t="s">
        <v>25</v>
      </c>
      <c r="B243" s="207" t="s">
        <v>7</v>
      </c>
      <c r="C243" s="207">
        <v>988100048</v>
      </c>
      <c r="D243" s="207" t="s">
        <v>267</v>
      </c>
      <c r="E243" s="207">
        <v>8995077604515</v>
      </c>
      <c r="F243" s="207">
        <v>0</v>
      </c>
    </row>
    <row r="244" spans="1:6">
      <c r="A244" s="207" t="s">
        <v>25</v>
      </c>
      <c r="B244" s="207" t="s">
        <v>7</v>
      </c>
      <c r="C244" s="207">
        <v>988100720</v>
      </c>
      <c r="D244" s="207" t="s">
        <v>565</v>
      </c>
      <c r="E244" s="207"/>
      <c r="F244" s="207">
        <v>0</v>
      </c>
    </row>
    <row r="245" spans="1:6">
      <c r="A245" s="207" t="s">
        <v>25</v>
      </c>
      <c r="B245" s="207" t="s">
        <v>7</v>
      </c>
      <c r="C245" s="207">
        <v>988100741</v>
      </c>
      <c r="D245" s="207" t="s">
        <v>838</v>
      </c>
      <c r="E245" s="207"/>
      <c r="F245" s="207">
        <v>2</v>
      </c>
    </row>
    <row r="246" spans="1:6">
      <c r="A246" s="207" t="s">
        <v>25</v>
      </c>
      <c r="B246" s="207" t="s">
        <v>7</v>
      </c>
      <c r="C246" s="207">
        <v>988100740</v>
      </c>
      <c r="D246" s="207" t="s">
        <v>839</v>
      </c>
      <c r="E246" s="207"/>
      <c r="F246" s="207">
        <v>0</v>
      </c>
    </row>
    <row r="247" spans="1:6">
      <c r="A247" s="207" t="s">
        <v>25</v>
      </c>
      <c r="B247" s="207" t="s">
        <v>7</v>
      </c>
      <c r="C247" s="207">
        <v>200220</v>
      </c>
      <c r="D247" s="207" t="s">
        <v>617</v>
      </c>
      <c r="E247" s="207"/>
      <c r="F247" s="207">
        <v>0</v>
      </c>
    </row>
    <row r="248" spans="1:6">
      <c r="A248" s="207" t="s">
        <v>25</v>
      </c>
      <c r="B248" s="207" t="s">
        <v>7</v>
      </c>
      <c r="C248" s="207">
        <v>988100458</v>
      </c>
      <c r="D248" s="207" t="s">
        <v>445</v>
      </c>
      <c r="E248" s="207"/>
      <c r="F248" s="207">
        <v>0</v>
      </c>
    </row>
    <row r="249" spans="1:6">
      <c r="A249" s="207" t="s">
        <v>25</v>
      </c>
      <c r="B249" s="207" t="s">
        <v>7</v>
      </c>
      <c r="C249" s="207">
        <v>988100131</v>
      </c>
      <c r="D249" s="207" t="s">
        <v>696</v>
      </c>
      <c r="E249" s="207"/>
      <c r="F249" s="207">
        <v>0</v>
      </c>
    </row>
    <row r="250" spans="1:6">
      <c r="A250" s="207" t="s">
        <v>6</v>
      </c>
      <c r="B250" s="207" t="s">
        <v>7</v>
      </c>
      <c r="C250" s="207">
        <v>100145</v>
      </c>
      <c r="D250" s="207" t="s">
        <v>840</v>
      </c>
      <c r="E250" s="207"/>
      <c r="F250" s="207">
        <v>0</v>
      </c>
    </row>
    <row r="251" spans="1:6">
      <c r="A251" s="207" t="s">
        <v>25</v>
      </c>
      <c r="B251" s="207" t="s">
        <v>7</v>
      </c>
      <c r="C251" s="207">
        <v>988100049</v>
      </c>
      <c r="D251" s="207" t="s">
        <v>841</v>
      </c>
      <c r="E251" s="207"/>
      <c r="F251" s="207">
        <v>0</v>
      </c>
    </row>
    <row r="252" spans="1:6">
      <c r="A252" s="207" t="s">
        <v>25</v>
      </c>
      <c r="B252" s="207" t="s">
        <v>7</v>
      </c>
      <c r="C252" s="207">
        <v>988100050</v>
      </c>
      <c r="D252" s="207" t="s">
        <v>842</v>
      </c>
      <c r="E252" s="207"/>
      <c r="F252" s="207">
        <v>0</v>
      </c>
    </row>
    <row r="253" spans="1:6">
      <c r="A253" s="207" t="s">
        <v>25</v>
      </c>
      <c r="B253" s="207" t="s">
        <v>7</v>
      </c>
      <c r="C253" s="207">
        <v>988100051</v>
      </c>
      <c r="D253" s="207" t="s">
        <v>843</v>
      </c>
      <c r="E253" s="207"/>
      <c r="F253" s="207">
        <v>0</v>
      </c>
    </row>
    <row r="254" spans="1:6">
      <c r="A254" s="207"/>
      <c r="B254" s="207"/>
      <c r="C254" s="207"/>
      <c r="D254" s="207"/>
      <c r="E254" s="207"/>
      <c r="F254" s="20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4274-ECC6-4904-8BC6-CA7B0E6A9022}">
  <dimension ref="A1:M253"/>
  <sheetViews>
    <sheetView topLeftCell="B1" zoomScale="70" zoomScaleNormal="70" workbookViewId="0">
      <selection activeCell="F26" sqref="F26:F27"/>
    </sheetView>
  </sheetViews>
  <sheetFormatPr defaultColWidth="6.1796875" defaultRowHeight="12.5"/>
  <cols>
    <col min="1" max="1" width="27.54296875" style="9" customWidth="1"/>
    <col min="2" max="2" width="22.26953125" style="9" customWidth="1"/>
    <col min="3" max="3" width="30" style="9" customWidth="1"/>
    <col min="4" max="4" width="54.54296875" style="9" customWidth="1"/>
    <col min="5" max="5" width="37.26953125" style="76" customWidth="1"/>
    <col min="6" max="6" width="34.7265625" style="76" customWidth="1"/>
    <col min="7" max="7" width="13.7265625" style="77" bestFit="1" customWidth="1"/>
    <col min="8" max="8" width="19" style="77" bestFit="1" customWidth="1"/>
    <col min="9" max="9" width="21.26953125" style="77" bestFit="1" customWidth="1"/>
    <col min="10" max="10" width="19.1796875" style="77" bestFit="1" customWidth="1"/>
    <col min="11" max="11" width="18.1796875" style="77" bestFit="1" customWidth="1"/>
    <col min="12" max="12" width="8.1796875" style="9" customWidth="1"/>
    <col min="13" max="13" width="22.54296875" style="10" customWidth="1"/>
    <col min="14" max="14" width="3.453125" style="9" bestFit="1" customWidth="1"/>
    <col min="15" max="15" width="4.453125" style="9" bestFit="1" customWidth="1"/>
    <col min="16" max="16" width="12.453125" style="9" bestFit="1" customWidth="1"/>
    <col min="17" max="16384" width="6.1796875" style="9"/>
  </cols>
  <sheetData>
    <row r="1" spans="1:13" s="4" customFormat="1" ht="29.15" customHeight="1">
      <c r="A1" s="1" t="s">
        <v>0</v>
      </c>
      <c r="B1" s="1" t="s">
        <v>1</v>
      </c>
      <c r="C1" s="2" t="s">
        <v>2</v>
      </c>
      <c r="D1" s="2" t="s">
        <v>3</v>
      </c>
      <c r="E1" s="90" t="s">
        <v>4</v>
      </c>
      <c r="F1" s="3" t="s">
        <v>5</v>
      </c>
    </row>
    <row r="2" spans="1:13">
      <c r="A2" s="5" t="s">
        <v>6</v>
      </c>
      <c r="B2" s="5" t="s">
        <v>7</v>
      </c>
      <c r="C2" s="6">
        <v>100016</v>
      </c>
      <c r="D2" s="7" t="s">
        <v>8</v>
      </c>
      <c r="E2" s="91">
        <v>8996006852045</v>
      </c>
      <c r="F2" s="78">
        <v>183</v>
      </c>
      <c r="G2" s="9"/>
      <c r="H2" s="9"/>
      <c r="I2" s="9"/>
      <c r="J2" s="9"/>
      <c r="K2" s="9"/>
      <c r="M2" s="9"/>
    </row>
    <row r="3" spans="1:13">
      <c r="A3" s="5" t="s">
        <v>6</v>
      </c>
      <c r="B3" s="5" t="s">
        <v>7</v>
      </c>
      <c r="C3" s="6">
        <v>100032</v>
      </c>
      <c r="D3" s="7" t="s">
        <v>9</v>
      </c>
      <c r="E3" s="91">
        <v>8992388101023</v>
      </c>
      <c r="F3" s="8">
        <v>0</v>
      </c>
      <c r="G3" s="9"/>
      <c r="H3" s="9"/>
      <c r="I3" s="9"/>
      <c r="J3" s="9"/>
      <c r="K3" s="9"/>
      <c r="M3" s="9"/>
    </row>
    <row r="4" spans="1:13">
      <c r="A4" s="11" t="s">
        <v>6</v>
      </c>
      <c r="B4" s="5" t="s">
        <v>7</v>
      </c>
      <c r="C4" s="6">
        <v>100033</v>
      </c>
      <c r="D4" s="7" t="s">
        <v>10</v>
      </c>
      <c r="E4" s="91">
        <v>8992388101016</v>
      </c>
      <c r="F4" s="8">
        <v>59</v>
      </c>
      <c r="G4" s="9"/>
      <c r="H4" s="9"/>
      <c r="I4" s="9"/>
      <c r="J4" s="9"/>
      <c r="K4" s="9"/>
      <c r="M4" s="9"/>
    </row>
    <row r="5" spans="1:13">
      <c r="A5" s="5" t="s">
        <v>6</v>
      </c>
      <c r="B5" s="5" t="s">
        <v>7</v>
      </c>
      <c r="C5" s="6">
        <v>988100021</v>
      </c>
      <c r="D5" s="7" t="s">
        <v>11</v>
      </c>
      <c r="E5" s="91">
        <v>8992388101054</v>
      </c>
      <c r="F5" s="8">
        <v>51</v>
      </c>
      <c r="G5" s="12"/>
      <c r="H5" s="12"/>
      <c r="I5" s="12"/>
      <c r="J5" s="9"/>
      <c r="K5" s="9"/>
      <c r="M5" s="9"/>
    </row>
    <row r="6" spans="1:13">
      <c r="A6" s="5" t="s">
        <v>6</v>
      </c>
      <c r="B6" s="5" t="s">
        <v>7</v>
      </c>
      <c r="C6" s="6">
        <v>988100024</v>
      </c>
      <c r="D6" s="7" t="s">
        <v>12</v>
      </c>
      <c r="E6" s="91">
        <v>8992388133017</v>
      </c>
      <c r="F6" s="8">
        <v>49</v>
      </c>
      <c r="G6" s="12"/>
      <c r="H6" s="12"/>
      <c r="I6" s="12"/>
      <c r="J6" s="9"/>
      <c r="K6" s="9"/>
      <c r="M6" s="9"/>
    </row>
    <row r="7" spans="1:13">
      <c r="A7" s="5" t="s">
        <v>6</v>
      </c>
      <c r="B7" s="5" t="s">
        <v>7</v>
      </c>
      <c r="C7" s="6">
        <v>988100025</v>
      </c>
      <c r="D7" s="7" t="s">
        <v>13</v>
      </c>
      <c r="E7" s="91">
        <v>8992388133345</v>
      </c>
      <c r="F7" s="8">
        <v>54</v>
      </c>
      <c r="G7" s="12"/>
      <c r="H7" s="12"/>
      <c r="I7" s="12"/>
      <c r="J7" s="9"/>
      <c r="K7" s="9"/>
      <c r="M7" s="9"/>
    </row>
    <row r="8" spans="1:13">
      <c r="A8" s="5" t="s">
        <v>6</v>
      </c>
      <c r="B8" s="5" t="s">
        <v>7</v>
      </c>
      <c r="C8" s="6">
        <v>988100460</v>
      </c>
      <c r="D8" s="7" t="s">
        <v>14</v>
      </c>
      <c r="E8" s="91">
        <v>8992388145027</v>
      </c>
      <c r="F8" s="8">
        <v>33</v>
      </c>
      <c r="G8" s="12"/>
      <c r="H8" s="12"/>
      <c r="I8" s="12"/>
      <c r="J8" s="9"/>
      <c r="K8" s="9"/>
      <c r="M8" s="9"/>
    </row>
    <row r="9" spans="1:13">
      <c r="A9" s="5" t="s">
        <v>6</v>
      </c>
      <c r="B9" s="5" t="s">
        <v>7</v>
      </c>
      <c r="C9" s="6">
        <v>100050</v>
      </c>
      <c r="D9" s="7" t="s">
        <v>15</v>
      </c>
      <c r="E9" s="91">
        <v>8996006853387</v>
      </c>
      <c r="F9" s="8">
        <v>85</v>
      </c>
      <c r="G9" s="12"/>
      <c r="H9" s="12"/>
      <c r="I9" s="12"/>
      <c r="J9" s="9"/>
      <c r="K9" s="9"/>
      <c r="M9" s="9"/>
    </row>
    <row r="10" spans="1:13">
      <c r="A10" s="5" t="s">
        <v>6</v>
      </c>
      <c r="B10" s="5" t="s">
        <v>7</v>
      </c>
      <c r="C10" s="6">
        <v>100052</v>
      </c>
      <c r="D10" s="7" t="s">
        <v>16</v>
      </c>
      <c r="E10" s="91">
        <v>8996006853394</v>
      </c>
      <c r="F10" s="8">
        <v>22</v>
      </c>
      <c r="G10" s="12"/>
      <c r="H10" s="12"/>
      <c r="I10" s="12"/>
      <c r="J10" s="9"/>
      <c r="K10" s="9"/>
      <c r="M10" s="9"/>
    </row>
    <row r="11" spans="1:13">
      <c r="A11" s="5" t="s">
        <v>6</v>
      </c>
      <c r="B11" s="5" t="s">
        <v>7</v>
      </c>
      <c r="C11" s="6">
        <v>100080</v>
      </c>
      <c r="D11" s="7" t="s">
        <v>17</v>
      </c>
      <c r="E11" s="91">
        <v>8992858527308</v>
      </c>
      <c r="F11" s="8">
        <v>4</v>
      </c>
      <c r="G11" s="12"/>
      <c r="H11" s="12"/>
      <c r="I11" s="12"/>
      <c r="J11" s="9"/>
      <c r="K11" s="9"/>
      <c r="M11" s="9"/>
    </row>
    <row r="12" spans="1:13">
      <c r="A12" s="5" t="s">
        <v>6</v>
      </c>
      <c r="B12" s="5" t="s">
        <v>7</v>
      </c>
      <c r="C12" s="6">
        <v>100011</v>
      </c>
      <c r="D12" s="7" t="s">
        <v>18</v>
      </c>
      <c r="E12" s="91">
        <v>8996006855145</v>
      </c>
      <c r="F12" s="8">
        <v>65</v>
      </c>
      <c r="G12" s="12"/>
      <c r="H12" s="12"/>
      <c r="I12" s="12"/>
      <c r="J12" s="9"/>
      <c r="K12" s="9"/>
      <c r="M12" s="9"/>
    </row>
    <row r="13" spans="1:13">
      <c r="A13" s="5" t="s">
        <v>6</v>
      </c>
      <c r="B13" s="5" t="s">
        <v>7</v>
      </c>
      <c r="C13" s="6">
        <v>100048</v>
      </c>
      <c r="D13" s="7" t="s">
        <v>19</v>
      </c>
      <c r="E13" s="91">
        <v>8996006853400</v>
      </c>
      <c r="F13" s="8">
        <v>36</v>
      </c>
      <c r="G13" s="12"/>
      <c r="H13" s="12"/>
      <c r="I13" s="12"/>
      <c r="J13" s="9"/>
      <c r="K13" s="9"/>
      <c r="M13" s="9"/>
    </row>
    <row r="14" spans="1:13">
      <c r="A14" s="5" t="s">
        <v>6</v>
      </c>
      <c r="B14" s="5" t="s">
        <v>7</v>
      </c>
      <c r="C14" s="13">
        <v>988100597</v>
      </c>
      <c r="D14" s="7" t="s">
        <v>20</v>
      </c>
      <c r="E14" s="91">
        <v>8992388145324</v>
      </c>
      <c r="F14" s="8">
        <v>66</v>
      </c>
      <c r="G14" s="12"/>
      <c r="H14" s="12"/>
      <c r="I14" s="12"/>
      <c r="J14" s="9"/>
      <c r="K14" s="9"/>
      <c r="M14" s="9"/>
    </row>
    <row r="15" spans="1:13">
      <c r="A15" s="5" t="s">
        <v>6</v>
      </c>
      <c r="B15" s="5" t="s">
        <v>7</v>
      </c>
      <c r="C15" s="6">
        <v>988100026</v>
      </c>
      <c r="D15" s="7" t="s">
        <v>21</v>
      </c>
      <c r="E15" s="91">
        <v>8992772586016</v>
      </c>
      <c r="F15" s="8" t="s">
        <v>275</v>
      </c>
      <c r="G15" s="9"/>
      <c r="H15" s="9"/>
      <c r="I15" s="9"/>
      <c r="J15" s="9"/>
      <c r="K15" s="9"/>
      <c r="M15" s="9"/>
    </row>
    <row r="16" spans="1:13">
      <c r="A16" s="5" t="s">
        <v>6</v>
      </c>
      <c r="B16" s="5" t="s">
        <v>7</v>
      </c>
      <c r="C16" s="14">
        <v>100205</v>
      </c>
      <c r="D16" s="15" t="s">
        <v>22</v>
      </c>
      <c r="E16" s="16">
        <v>8994985000006</v>
      </c>
      <c r="F16" s="8">
        <v>62</v>
      </c>
      <c r="G16" s="9"/>
      <c r="H16" s="9"/>
      <c r="I16" s="9"/>
      <c r="J16" s="9"/>
      <c r="K16" s="9"/>
      <c r="M16" s="9"/>
    </row>
    <row r="17" spans="1:13">
      <c r="A17" s="5" t="s">
        <v>6</v>
      </c>
      <c r="B17" s="5" t="s">
        <v>7</v>
      </c>
      <c r="C17" s="14">
        <v>100226</v>
      </c>
      <c r="D17" s="15" t="s">
        <v>23</v>
      </c>
      <c r="E17" s="16">
        <v>8994985000273</v>
      </c>
      <c r="F17" s="8">
        <v>58</v>
      </c>
      <c r="G17" s="9"/>
      <c r="H17" s="9"/>
      <c r="I17" s="9"/>
      <c r="J17" s="9"/>
      <c r="K17" s="9"/>
      <c r="M17" s="9"/>
    </row>
    <row r="18" spans="1:13">
      <c r="A18" s="5" t="s">
        <v>6</v>
      </c>
      <c r="B18" s="5" t="s">
        <v>7</v>
      </c>
      <c r="C18" s="14">
        <v>100207</v>
      </c>
      <c r="D18" s="15" t="s">
        <v>24</v>
      </c>
      <c r="E18" s="16">
        <v>8994985002109</v>
      </c>
      <c r="F18" s="8">
        <v>26</v>
      </c>
      <c r="G18" s="9"/>
      <c r="H18" s="9"/>
      <c r="I18" s="9"/>
      <c r="J18" s="9"/>
      <c r="K18" s="9"/>
      <c r="M18" s="9"/>
    </row>
    <row r="19" spans="1:13">
      <c r="A19" s="5" t="s">
        <v>25</v>
      </c>
      <c r="B19" s="5" t="s">
        <v>7</v>
      </c>
      <c r="C19" s="6">
        <v>988100456</v>
      </c>
      <c r="D19" s="7" t="s">
        <v>26</v>
      </c>
      <c r="E19" s="91">
        <v>89686732016</v>
      </c>
      <c r="F19" s="8">
        <v>83</v>
      </c>
      <c r="G19" s="9"/>
      <c r="H19" s="9"/>
      <c r="I19" s="9"/>
      <c r="J19" s="9"/>
      <c r="K19" s="9"/>
      <c r="M19" s="9"/>
    </row>
    <row r="20" spans="1:13">
      <c r="A20" s="5" t="s">
        <v>25</v>
      </c>
      <c r="B20" s="5" t="s">
        <v>7</v>
      </c>
      <c r="C20" s="6">
        <v>200004</v>
      </c>
      <c r="D20" s="7" t="s">
        <v>27</v>
      </c>
      <c r="E20" s="91">
        <v>89686598025</v>
      </c>
      <c r="F20" s="8">
        <v>35</v>
      </c>
      <c r="G20" s="9"/>
      <c r="H20" s="9"/>
      <c r="I20" s="9"/>
      <c r="J20" s="9"/>
      <c r="K20" s="9"/>
      <c r="M20" s="9"/>
    </row>
    <row r="21" spans="1:13">
      <c r="A21" s="5" t="s">
        <v>25</v>
      </c>
      <c r="B21" s="5" t="s">
        <v>7</v>
      </c>
      <c r="C21" s="6">
        <v>988100566</v>
      </c>
      <c r="D21" s="15" t="s">
        <v>28</v>
      </c>
      <c r="E21" s="91">
        <v>89686604443</v>
      </c>
      <c r="F21" s="8">
        <v>130</v>
      </c>
      <c r="G21" s="9"/>
      <c r="H21" s="9"/>
      <c r="I21" s="9"/>
      <c r="J21" s="9"/>
      <c r="K21" s="9"/>
      <c r="M21" s="9"/>
    </row>
    <row r="22" spans="1:13">
      <c r="A22" s="5" t="s">
        <v>25</v>
      </c>
      <c r="B22" s="5" t="s">
        <v>7</v>
      </c>
      <c r="C22" s="6">
        <v>988100569</v>
      </c>
      <c r="D22" s="15" t="s">
        <v>29</v>
      </c>
      <c r="E22" s="91">
        <v>89686590098</v>
      </c>
      <c r="F22" s="8">
        <v>183</v>
      </c>
      <c r="G22" s="9"/>
      <c r="H22" s="9"/>
      <c r="I22" s="9"/>
      <c r="J22" s="9"/>
      <c r="K22" s="9"/>
      <c r="M22" s="9"/>
    </row>
    <row r="23" spans="1:13">
      <c r="A23" s="5" t="s">
        <v>25</v>
      </c>
      <c r="B23" s="5" t="s">
        <v>7</v>
      </c>
      <c r="C23" s="6">
        <v>988100572</v>
      </c>
      <c r="D23" s="15" t="s">
        <v>30</v>
      </c>
      <c r="E23" s="91">
        <v>89686591286</v>
      </c>
      <c r="F23" s="8">
        <v>134</v>
      </c>
      <c r="G23" s="9"/>
      <c r="H23" s="9"/>
      <c r="I23" s="9"/>
      <c r="J23" s="9"/>
      <c r="K23" s="9"/>
      <c r="M23" s="9"/>
    </row>
    <row r="24" spans="1:13">
      <c r="A24" s="5" t="s">
        <v>25</v>
      </c>
      <c r="B24" s="5" t="s">
        <v>7</v>
      </c>
      <c r="C24" s="6">
        <v>988100571</v>
      </c>
      <c r="D24" s="15" t="s">
        <v>31</v>
      </c>
      <c r="E24" s="91">
        <v>89686590197</v>
      </c>
      <c r="F24" s="8">
        <v>151</v>
      </c>
      <c r="G24" s="9"/>
      <c r="H24" s="9"/>
      <c r="I24" s="9"/>
      <c r="J24" s="9"/>
      <c r="K24" s="9"/>
      <c r="M24" s="9"/>
    </row>
    <row r="25" spans="1:13">
      <c r="A25" s="5" t="s">
        <v>25</v>
      </c>
      <c r="B25" s="5" t="s">
        <v>7</v>
      </c>
      <c r="C25" s="6">
        <v>988100613</v>
      </c>
      <c r="D25" s="7" t="s">
        <v>32</v>
      </c>
      <c r="E25" s="91">
        <v>89686723069</v>
      </c>
      <c r="F25" s="8">
        <v>92</v>
      </c>
      <c r="G25" s="9"/>
      <c r="H25" s="9"/>
      <c r="I25" s="9"/>
      <c r="J25" s="9"/>
      <c r="K25" s="9"/>
      <c r="M25" s="9"/>
    </row>
    <row r="26" spans="1:13">
      <c r="A26" s="5" t="s">
        <v>25</v>
      </c>
      <c r="B26" s="5" t="s">
        <v>7</v>
      </c>
      <c r="C26" s="6">
        <v>988100610</v>
      </c>
      <c r="D26" s="17" t="s">
        <v>33</v>
      </c>
      <c r="E26" s="91">
        <v>89686723083</v>
      </c>
      <c r="F26" s="8">
        <v>151</v>
      </c>
      <c r="G26" s="9"/>
      <c r="H26" s="9"/>
      <c r="I26" s="9"/>
      <c r="J26" s="9"/>
      <c r="K26" s="9"/>
      <c r="M26" s="9"/>
    </row>
    <row r="27" spans="1:13">
      <c r="A27" s="5" t="s">
        <v>25</v>
      </c>
      <c r="B27" s="5" t="s">
        <v>7</v>
      </c>
      <c r="C27" s="6">
        <v>200423</v>
      </c>
      <c r="D27" s="7" t="s">
        <v>34</v>
      </c>
      <c r="E27" s="91">
        <v>8991001502204</v>
      </c>
      <c r="F27" s="8" t="s">
        <v>275</v>
      </c>
      <c r="G27" s="9"/>
      <c r="H27" s="9"/>
      <c r="I27" s="9"/>
      <c r="J27" s="9"/>
      <c r="K27" s="9"/>
      <c r="M27" s="9"/>
    </row>
    <row r="28" spans="1:13">
      <c r="A28" s="5" t="s">
        <v>25</v>
      </c>
      <c r="B28" s="5" t="s">
        <v>7</v>
      </c>
      <c r="C28" s="6">
        <v>988100471</v>
      </c>
      <c r="D28" s="7" t="s">
        <v>35</v>
      </c>
      <c r="E28" s="91">
        <v>8991001501097</v>
      </c>
      <c r="F28" s="8" t="s">
        <v>275</v>
      </c>
      <c r="G28" s="9"/>
      <c r="H28" s="9"/>
      <c r="I28" s="9"/>
      <c r="J28" s="9"/>
      <c r="K28" s="9"/>
      <c r="M28" s="9"/>
    </row>
    <row r="29" spans="1:13" s="18" customFormat="1">
      <c r="A29" s="5" t="s">
        <v>25</v>
      </c>
      <c r="B29" s="5" t="s">
        <v>7</v>
      </c>
      <c r="C29" s="6">
        <v>988100539</v>
      </c>
      <c r="D29" s="7" t="s">
        <v>36</v>
      </c>
      <c r="E29" s="91">
        <v>8998694120208</v>
      </c>
      <c r="F29" s="8" t="s">
        <v>275</v>
      </c>
    </row>
    <row r="30" spans="1:13" s="18" customFormat="1">
      <c r="A30" s="5" t="s">
        <v>25</v>
      </c>
      <c r="B30" s="5" t="s">
        <v>7</v>
      </c>
      <c r="C30" s="6">
        <v>500048</v>
      </c>
      <c r="D30" s="7" t="s">
        <v>37</v>
      </c>
      <c r="E30" s="91">
        <v>8998685053300</v>
      </c>
      <c r="F30" s="8">
        <v>5</v>
      </c>
    </row>
    <row r="31" spans="1:13" s="18" customFormat="1">
      <c r="A31" s="5" t="s">
        <v>25</v>
      </c>
      <c r="B31" s="5" t="s">
        <v>7</v>
      </c>
      <c r="C31" s="6">
        <v>500020</v>
      </c>
      <c r="D31" s="7" t="s">
        <v>38</v>
      </c>
      <c r="E31" s="91">
        <v>8998685054307</v>
      </c>
      <c r="F31" s="8">
        <v>11</v>
      </c>
    </row>
    <row r="32" spans="1:13" s="18" customFormat="1">
      <c r="A32" s="5" t="s">
        <v>25</v>
      </c>
      <c r="B32" s="5" t="s">
        <v>7</v>
      </c>
      <c r="C32" s="6">
        <v>988100540</v>
      </c>
      <c r="D32" s="7" t="s">
        <v>39</v>
      </c>
      <c r="E32" s="91">
        <v>8998694110148</v>
      </c>
      <c r="F32" s="8" t="s">
        <v>275</v>
      </c>
    </row>
    <row r="33" spans="1:6" s="18" customFormat="1">
      <c r="A33" s="5" t="s">
        <v>40</v>
      </c>
      <c r="B33" s="5" t="s">
        <v>41</v>
      </c>
      <c r="C33" s="6">
        <v>910054</v>
      </c>
      <c r="D33" s="7" t="s">
        <v>42</v>
      </c>
      <c r="E33" s="91">
        <v>6949070602988</v>
      </c>
      <c r="F33" s="8">
        <v>3</v>
      </c>
    </row>
    <row r="34" spans="1:6" s="18" customFormat="1">
      <c r="A34" s="5" t="s">
        <v>40</v>
      </c>
      <c r="B34" s="5" t="s">
        <v>41</v>
      </c>
      <c r="C34" s="6">
        <v>910056</v>
      </c>
      <c r="D34" s="7" t="s">
        <v>43</v>
      </c>
      <c r="E34" s="91">
        <v>6949070603022</v>
      </c>
      <c r="F34" s="8">
        <v>3</v>
      </c>
    </row>
    <row r="35" spans="1:6" s="18" customFormat="1">
      <c r="A35" s="5" t="s">
        <v>40</v>
      </c>
      <c r="B35" s="5" t="s">
        <v>41</v>
      </c>
      <c r="C35" s="6">
        <v>910057</v>
      </c>
      <c r="D35" s="7" t="s">
        <v>44</v>
      </c>
      <c r="E35" s="91">
        <v>6949070603039</v>
      </c>
      <c r="F35" s="8">
        <v>7</v>
      </c>
    </row>
    <row r="36" spans="1:6" s="18" customFormat="1">
      <c r="A36" s="5" t="s">
        <v>40</v>
      </c>
      <c r="B36" s="5" t="s">
        <v>41</v>
      </c>
      <c r="C36" s="6">
        <v>990004</v>
      </c>
      <c r="D36" s="7" t="s">
        <v>45</v>
      </c>
      <c r="E36" s="91" t="s">
        <v>46</v>
      </c>
      <c r="F36" s="8">
        <v>59</v>
      </c>
    </row>
    <row r="37" spans="1:6" s="18" customFormat="1">
      <c r="A37" s="5" t="s">
        <v>40</v>
      </c>
      <c r="B37" s="5" t="s">
        <v>7</v>
      </c>
      <c r="C37" s="6">
        <v>990116</v>
      </c>
      <c r="D37" s="7" t="s">
        <v>47</v>
      </c>
      <c r="E37" s="91" t="s">
        <v>48</v>
      </c>
      <c r="F37" s="8">
        <v>32</v>
      </c>
    </row>
    <row r="38" spans="1:6" s="18" customFormat="1">
      <c r="A38" s="5" t="s">
        <v>40</v>
      </c>
      <c r="B38" s="5" t="s">
        <v>7</v>
      </c>
      <c r="C38" s="6">
        <v>990117</v>
      </c>
      <c r="D38" s="7" t="s">
        <v>49</v>
      </c>
      <c r="E38" s="91" t="s">
        <v>50</v>
      </c>
      <c r="F38" s="8">
        <v>29</v>
      </c>
    </row>
    <row r="39" spans="1:6" s="18" customFormat="1">
      <c r="A39" s="5" t="s">
        <v>40</v>
      </c>
      <c r="B39" s="5" t="s">
        <v>7</v>
      </c>
      <c r="C39" s="6">
        <v>990115</v>
      </c>
      <c r="D39" s="7" t="s">
        <v>51</v>
      </c>
      <c r="E39" s="91" t="s">
        <v>52</v>
      </c>
      <c r="F39" s="8">
        <v>45</v>
      </c>
    </row>
    <row r="40" spans="1:6" s="18" customFormat="1">
      <c r="A40" s="5" t="s">
        <v>40</v>
      </c>
      <c r="B40" s="5" t="s">
        <v>7</v>
      </c>
      <c r="C40" s="6">
        <v>988100570</v>
      </c>
      <c r="D40" s="7" t="s">
        <v>53</v>
      </c>
      <c r="E40" s="91" t="s">
        <v>54</v>
      </c>
      <c r="F40" s="8">
        <v>43</v>
      </c>
    </row>
    <row r="41" spans="1:6" s="18" customFormat="1">
      <c r="A41" s="5" t="s">
        <v>40</v>
      </c>
      <c r="B41" s="5" t="s">
        <v>7</v>
      </c>
      <c r="C41" s="6">
        <v>988100484</v>
      </c>
      <c r="D41" s="7" t="s">
        <v>55</v>
      </c>
      <c r="E41" s="91" t="s">
        <v>56</v>
      </c>
      <c r="F41" s="8">
        <v>32</v>
      </c>
    </row>
    <row r="42" spans="1:6" s="18" customFormat="1">
      <c r="A42" s="5" t="s">
        <v>40</v>
      </c>
      <c r="B42" s="5" t="s">
        <v>7</v>
      </c>
      <c r="C42" s="6">
        <v>988100661</v>
      </c>
      <c r="D42" s="7" t="s">
        <v>57</v>
      </c>
      <c r="E42" s="91" t="s">
        <v>58</v>
      </c>
      <c r="F42" s="8">
        <v>6</v>
      </c>
    </row>
    <row r="43" spans="1:6" s="18" customFormat="1">
      <c r="A43" s="5" t="s">
        <v>40</v>
      </c>
      <c r="B43" s="5" t="s">
        <v>7</v>
      </c>
      <c r="C43" s="6">
        <v>988100662</v>
      </c>
      <c r="D43" s="7" t="s">
        <v>59</v>
      </c>
      <c r="E43" s="91" t="s">
        <v>60</v>
      </c>
      <c r="F43" s="8" t="s">
        <v>275</v>
      </c>
    </row>
    <row r="44" spans="1:6" s="18" customFormat="1">
      <c r="A44" s="5" t="s">
        <v>40</v>
      </c>
      <c r="B44" s="5" t="s">
        <v>7</v>
      </c>
      <c r="C44" s="6">
        <v>990102</v>
      </c>
      <c r="D44" s="7" t="s">
        <v>61</v>
      </c>
      <c r="E44" s="91" t="s">
        <v>62</v>
      </c>
      <c r="F44" s="8">
        <v>121</v>
      </c>
    </row>
    <row r="45" spans="1:6" s="18" customFormat="1">
      <c r="A45" s="5" t="s">
        <v>40</v>
      </c>
      <c r="B45" s="5" t="s">
        <v>7</v>
      </c>
      <c r="C45" s="6">
        <v>988100066</v>
      </c>
      <c r="D45" s="7" t="s">
        <v>63</v>
      </c>
      <c r="E45" s="91" t="s">
        <v>64</v>
      </c>
      <c r="F45" s="8">
        <v>98</v>
      </c>
    </row>
    <row r="46" spans="1:6" s="18" customFormat="1">
      <c r="A46" s="5" t="s">
        <v>40</v>
      </c>
      <c r="B46" s="5" t="s">
        <v>7</v>
      </c>
      <c r="C46" s="6">
        <v>988100068</v>
      </c>
      <c r="D46" s="7" t="s">
        <v>65</v>
      </c>
      <c r="E46" s="91" t="s">
        <v>66</v>
      </c>
      <c r="F46" s="8">
        <v>73</v>
      </c>
    </row>
    <row r="47" spans="1:6" s="18" customFormat="1">
      <c r="A47" s="5" t="s">
        <v>40</v>
      </c>
      <c r="B47" s="5" t="s">
        <v>7</v>
      </c>
      <c r="C47" s="6">
        <v>988100124</v>
      </c>
      <c r="D47" s="7" t="s">
        <v>67</v>
      </c>
      <c r="E47" s="91" t="s">
        <v>68</v>
      </c>
      <c r="F47" s="8">
        <v>153</v>
      </c>
    </row>
    <row r="48" spans="1:6" s="18" customFormat="1">
      <c r="A48" s="5" t="s">
        <v>40</v>
      </c>
      <c r="B48" s="5" t="s">
        <v>7</v>
      </c>
      <c r="C48" s="6">
        <v>988100088</v>
      </c>
      <c r="D48" s="7" t="s">
        <v>69</v>
      </c>
      <c r="E48" s="91" t="s">
        <v>70</v>
      </c>
      <c r="F48" s="8">
        <v>105</v>
      </c>
    </row>
    <row r="49" spans="1:6" s="18" customFormat="1">
      <c r="A49" s="11" t="s">
        <v>25</v>
      </c>
      <c r="B49" s="5" t="s">
        <v>41</v>
      </c>
      <c r="C49" s="6">
        <v>988100601</v>
      </c>
      <c r="D49" s="7" t="s">
        <v>71</v>
      </c>
      <c r="E49" s="91" t="s">
        <v>72</v>
      </c>
      <c r="F49" s="8">
        <v>10</v>
      </c>
    </row>
    <row r="50" spans="1:6" s="18" customFormat="1">
      <c r="A50" s="11" t="s">
        <v>25</v>
      </c>
      <c r="B50" s="5" t="s">
        <v>41</v>
      </c>
      <c r="C50" s="6">
        <v>988100602</v>
      </c>
      <c r="D50" s="7" t="s">
        <v>73</v>
      </c>
      <c r="E50" s="91" t="s">
        <v>74</v>
      </c>
      <c r="F50" s="8">
        <v>3</v>
      </c>
    </row>
    <row r="51" spans="1:6" s="18" customFormat="1">
      <c r="A51" s="11" t="s">
        <v>25</v>
      </c>
      <c r="B51" s="5" t="s">
        <v>41</v>
      </c>
      <c r="C51" s="6">
        <v>988100605</v>
      </c>
      <c r="D51" s="7" t="s">
        <v>75</v>
      </c>
      <c r="E51" s="91" t="s">
        <v>76</v>
      </c>
      <c r="F51" s="8">
        <v>5</v>
      </c>
    </row>
    <row r="52" spans="1:6" s="18" customFormat="1">
      <c r="A52" s="11" t="s">
        <v>25</v>
      </c>
      <c r="B52" s="5" t="s">
        <v>41</v>
      </c>
      <c r="C52" s="6" t="s">
        <v>308</v>
      </c>
      <c r="D52" s="41" t="s">
        <v>304</v>
      </c>
      <c r="E52" s="24"/>
      <c r="F52" s="8">
        <v>4</v>
      </c>
    </row>
    <row r="53" spans="1:6" s="18" customFormat="1">
      <c r="A53" s="11" t="s">
        <v>25</v>
      </c>
      <c r="B53" s="5" t="s">
        <v>41</v>
      </c>
      <c r="C53" s="6">
        <v>988100606</v>
      </c>
      <c r="D53" s="7" t="s">
        <v>77</v>
      </c>
      <c r="E53" s="91" t="s">
        <v>78</v>
      </c>
      <c r="F53" s="8">
        <v>4</v>
      </c>
    </row>
    <row r="54" spans="1:6" s="18" customFormat="1">
      <c r="A54" s="11" t="s">
        <v>25</v>
      </c>
      <c r="B54" s="5" t="s">
        <v>41</v>
      </c>
      <c r="C54" s="6">
        <v>988100438</v>
      </c>
      <c r="D54" s="7" t="s">
        <v>79</v>
      </c>
      <c r="E54" s="91">
        <v>44781299</v>
      </c>
      <c r="F54" s="8" t="s">
        <v>275</v>
      </c>
    </row>
    <row r="55" spans="1:6" s="18" customFormat="1">
      <c r="A55" s="11" t="s">
        <v>25</v>
      </c>
      <c r="B55" s="5" t="s">
        <v>41</v>
      </c>
      <c r="C55" s="6">
        <v>988100439</v>
      </c>
      <c r="D55" s="7" t="s">
        <v>80</v>
      </c>
      <c r="E55" s="91">
        <v>44783238</v>
      </c>
      <c r="F55" s="8" t="s">
        <v>275</v>
      </c>
    </row>
    <row r="56" spans="1:6" s="18" customFormat="1">
      <c r="A56" s="11" t="s">
        <v>25</v>
      </c>
      <c r="B56" s="5" t="s">
        <v>41</v>
      </c>
      <c r="C56" s="6">
        <v>988100440</v>
      </c>
      <c r="D56" s="7" t="s">
        <v>81</v>
      </c>
      <c r="E56" s="91">
        <v>44785238</v>
      </c>
      <c r="F56" s="8" t="s">
        <v>275</v>
      </c>
    </row>
    <row r="57" spans="1:6" s="18" customFormat="1">
      <c r="A57" s="11" t="s">
        <v>25</v>
      </c>
      <c r="B57" s="5" t="s">
        <v>41</v>
      </c>
      <c r="C57" s="6">
        <v>988100441</v>
      </c>
      <c r="D57" s="7" t="s">
        <v>82</v>
      </c>
      <c r="E57" s="91">
        <v>87440099</v>
      </c>
      <c r="F57" s="8" t="s">
        <v>275</v>
      </c>
    </row>
    <row r="58" spans="1:6" s="18" customFormat="1">
      <c r="A58" s="11" t="s">
        <v>25</v>
      </c>
      <c r="B58" s="5" t="s">
        <v>41</v>
      </c>
      <c r="C58" s="6">
        <v>988100442</v>
      </c>
      <c r="D58" s="7" t="s">
        <v>83</v>
      </c>
      <c r="E58" s="91">
        <v>44787238</v>
      </c>
      <c r="F58" s="8" t="s">
        <v>275</v>
      </c>
    </row>
    <row r="59" spans="1:6" s="18" customFormat="1">
      <c r="A59" s="11" t="s">
        <v>25</v>
      </c>
      <c r="B59" s="5" t="s">
        <v>41</v>
      </c>
      <c r="C59" s="6">
        <v>988100443</v>
      </c>
      <c r="D59" s="7" t="s">
        <v>84</v>
      </c>
      <c r="E59" s="91">
        <v>44781238</v>
      </c>
      <c r="F59" s="8" t="s">
        <v>275</v>
      </c>
    </row>
    <row r="60" spans="1:6" s="18" customFormat="1">
      <c r="A60" s="11" t="s">
        <v>25</v>
      </c>
      <c r="B60" s="5" t="s">
        <v>41</v>
      </c>
      <c r="C60" s="6">
        <v>988100453</v>
      </c>
      <c r="D60" s="7" t="s">
        <v>85</v>
      </c>
      <c r="E60" s="91">
        <v>44784210</v>
      </c>
      <c r="F60" s="8" t="s">
        <v>275</v>
      </c>
    </row>
    <row r="61" spans="1:6" s="18" customFormat="1">
      <c r="A61" s="11" t="s">
        <v>25</v>
      </c>
      <c r="B61" s="5" t="s">
        <v>41</v>
      </c>
      <c r="C61" s="6">
        <v>988100465</v>
      </c>
      <c r="D61" s="7" t="s">
        <v>86</v>
      </c>
      <c r="E61" s="91">
        <v>44781398</v>
      </c>
      <c r="F61" s="8" t="s">
        <v>275</v>
      </c>
    </row>
    <row r="62" spans="1:6" s="18" customFormat="1">
      <c r="A62" s="11" t="s">
        <v>25</v>
      </c>
      <c r="B62" s="5" t="s">
        <v>41</v>
      </c>
      <c r="C62" s="6">
        <v>988100466</v>
      </c>
      <c r="D62" s="7" t="s">
        <v>87</v>
      </c>
      <c r="E62" s="91">
        <v>44782487</v>
      </c>
      <c r="F62" s="8" t="s">
        <v>275</v>
      </c>
    </row>
    <row r="63" spans="1:6" s="18" customFormat="1">
      <c r="A63" s="11" t="s">
        <v>25</v>
      </c>
      <c r="B63" s="5" t="s">
        <v>41</v>
      </c>
      <c r="C63" s="6">
        <v>988100467</v>
      </c>
      <c r="D63" s="7" t="s">
        <v>88</v>
      </c>
      <c r="E63" s="91">
        <v>44781299</v>
      </c>
      <c r="F63" s="8" t="s">
        <v>275</v>
      </c>
    </row>
    <row r="64" spans="1:6" s="18" customFormat="1">
      <c r="A64" s="11" t="s">
        <v>89</v>
      </c>
      <c r="B64" s="5" t="s">
        <v>7</v>
      </c>
      <c r="C64" s="6">
        <v>988100473</v>
      </c>
      <c r="D64" s="7" t="s">
        <v>90</v>
      </c>
      <c r="E64" s="91">
        <v>8998866820301</v>
      </c>
      <c r="F64" s="8" t="s">
        <v>275</v>
      </c>
    </row>
    <row r="65" spans="1:6" s="18" customFormat="1">
      <c r="A65" s="11" t="s">
        <v>89</v>
      </c>
      <c r="B65" s="5" t="s">
        <v>7</v>
      </c>
      <c r="C65" s="6">
        <v>300054</v>
      </c>
      <c r="D65" s="7" t="s">
        <v>91</v>
      </c>
      <c r="E65" s="91">
        <v>8998866820011</v>
      </c>
      <c r="F65" s="8" t="s">
        <v>275</v>
      </c>
    </row>
    <row r="66" spans="1:6" s="18" customFormat="1">
      <c r="A66" s="11" t="s">
        <v>89</v>
      </c>
      <c r="B66" s="5" t="s">
        <v>7</v>
      </c>
      <c r="C66" s="6">
        <v>300050</v>
      </c>
      <c r="D66" s="7" t="s">
        <v>92</v>
      </c>
      <c r="E66" s="91">
        <v>8998866820004</v>
      </c>
      <c r="F66" s="8" t="s">
        <v>275</v>
      </c>
    </row>
    <row r="67" spans="1:6" s="18" customFormat="1">
      <c r="A67" s="11" t="s">
        <v>89</v>
      </c>
      <c r="B67" s="5" t="s">
        <v>7</v>
      </c>
      <c r="C67" s="6">
        <v>988100434</v>
      </c>
      <c r="D67" s="7" t="s">
        <v>93</v>
      </c>
      <c r="E67" s="91">
        <v>8998866820486</v>
      </c>
      <c r="F67" s="8">
        <v>36</v>
      </c>
    </row>
    <row r="68" spans="1:6" s="18" customFormat="1">
      <c r="A68" s="11" t="s">
        <v>89</v>
      </c>
      <c r="B68" s="5" t="s">
        <v>7</v>
      </c>
      <c r="C68" s="6">
        <v>988100464</v>
      </c>
      <c r="D68" s="7" t="s">
        <v>94</v>
      </c>
      <c r="E68" s="91">
        <v>8998866820554</v>
      </c>
      <c r="F68" s="8">
        <v>25</v>
      </c>
    </row>
    <row r="69" spans="1:6" s="18" customFormat="1">
      <c r="A69" s="11" t="s">
        <v>89</v>
      </c>
      <c r="B69" s="5" t="s">
        <v>7</v>
      </c>
      <c r="C69" s="6">
        <v>988100455</v>
      </c>
      <c r="D69" s="7" t="s">
        <v>95</v>
      </c>
      <c r="E69" s="91">
        <v>8998866820516</v>
      </c>
      <c r="F69" s="8" t="s">
        <v>275</v>
      </c>
    </row>
    <row r="70" spans="1:6" s="18" customFormat="1">
      <c r="A70" s="11" t="s">
        <v>89</v>
      </c>
      <c r="B70" s="5" t="s">
        <v>7</v>
      </c>
      <c r="C70" s="6">
        <v>988100132</v>
      </c>
      <c r="D70" s="7" t="s">
        <v>96</v>
      </c>
      <c r="E70" s="91">
        <v>8998866820400</v>
      </c>
      <c r="F70" s="8"/>
    </row>
    <row r="71" spans="1:6" s="18" customFormat="1">
      <c r="A71" s="11" t="s">
        <v>89</v>
      </c>
      <c r="B71" s="5" t="s">
        <v>7</v>
      </c>
      <c r="C71" s="6">
        <v>988100100</v>
      </c>
      <c r="D71" s="7" t="s">
        <v>97</v>
      </c>
      <c r="E71" s="91">
        <v>8998866820363</v>
      </c>
      <c r="F71" s="8">
        <v>18</v>
      </c>
    </row>
    <row r="72" spans="1:6" s="18" customFormat="1">
      <c r="A72" s="11" t="s">
        <v>89</v>
      </c>
      <c r="B72" s="5" t="s">
        <v>7</v>
      </c>
      <c r="C72" s="6">
        <v>988100137</v>
      </c>
      <c r="D72" s="7" t="s">
        <v>98</v>
      </c>
      <c r="E72" s="91">
        <v>8998866820356</v>
      </c>
      <c r="F72" s="8" t="s">
        <v>275</v>
      </c>
    </row>
    <row r="73" spans="1:6" s="18" customFormat="1">
      <c r="A73" s="11" t="s">
        <v>89</v>
      </c>
      <c r="B73" s="5" t="s">
        <v>7</v>
      </c>
      <c r="C73" s="6">
        <v>988100468</v>
      </c>
      <c r="D73" s="7" t="s">
        <v>99</v>
      </c>
      <c r="E73" s="91">
        <v>8998866820479</v>
      </c>
      <c r="F73" s="8">
        <v>15</v>
      </c>
    </row>
    <row r="74" spans="1:6" s="18" customFormat="1">
      <c r="A74" s="11" t="s">
        <v>89</v>
      </c>
      <c r="B74" s="5" t="s">
        <v>7</v>
      </c>
      <c r="C74" s="6">
        <v>988100040</v>
      </c>
      <c r="D74" s="7" t="s">
        <v>100</v>
      </c>
      <c r="E74" s="91">
        <v>8998866820165</v>
      </c>
      <c r="F74" s="8">
        <v>31</v>
      </c>
    </row>
    <row r="75" spans="1:6" s="18" customFormat="1">
      <c r="A75" s="11" t="s">
        <v>89</v>
      </c>
      <c r="B75" s="5" t="s">
        <v>7</v>
      </c>
      <c r="C75" s="6">
        <v>988100474</v>
      </c>
      <c r="D75" s="7" t="s">
        <v>101</v>
      </c>
      <c r="E75" s="91">
        <v>8998866820530</v>
      </c>
      <c r="F75" s="8" t="s">
        <v>275</v>
      </c>
    </row>
    <row r="76" spans="1:6" s="18" customFormat="1">
      <c r="A76" s="11" t="s">
        <v>89</v>
      </c>
      <c r="B76" s="5" t="s">
        <v>7</v>
      </c>
      <c r="C76" s="6">
        <v>988100475</v>
      </c>
      <c r="D76" s="7" t="s">
        <v>102</v>
      </c>
      <c r="E76" s="91">
        <v>8998866820547</v>
      </c>
      <c r="F76" s="8" t="s">
        <v>275</v>
      </c>
    </row>
    <row r="77" spans="1:6" s="18" customFormat="1">
      <c r="A77" s="11" t="s">
        <v>89</v>
      </c>
      <c r="B77" s="5" t="s">
        <v>7</v>
      </c>
      <c r="C77" s="6">
        <v>988100476</v>
      </c>
      <c r="D77" s="7" t="s">
        <v>103</v>
      </c>
      <c r="E77" s="91">
        <v>8998866820370</v>
      </c>
      <c r="F77" s="8" t="s">
        <v>275</v>
      </c>
    </row>
    <row r="78" spans="1:6" s="18" customFormat="1">
      <c r="A78" s="11" t="s">
        <v>89</v>
      </c>
      <c r="B78" s="5" t="s">
        <v>7</v>
      </c>
      <c r="C78" s="6">
        <v>988100477</v>
      </c>
      <c r="D78" s="7" t="s">
        <v>104</v>
      </c>
      <c r="E78" s="91">
        <v>8998866820394</v>
      </c>
      <c r="F78" s="8" t="s">
        <v>275</v>
      </c>
    </row>
    <row r="79" spans="1:6" s="18" customFormat="1">
      <c r="A79" s="11" t="s">
        <v>89</v>
      </c>
      <c r="B79" s="5" t="s">
        <v>7</v>
      </c>
      <c r="C79" s="6">
        <v>988100478</v>
      </c>
      <c r="D79" s="7" t="s">
        <v>105</v>
      </c>
      <c r="E79" s="91">
        <v>8998866820462</v>
      </c>
      <c r="F79" s="8" t="s">
        <v>275</v>
      </c>
    </row>
    <row r="80" spans="1:6" s="18" customFormat="1">
      <c r="A80" s="11" t="s">
        <v>89</v>
      </c>
      <c r="B80" s="5" t="s">
        <v>7</v>
      </c>
      <c r="C80" s="6">
        <v>988100479</v>
      </c>
      <c r="D80" s="7" t="s">
        <v>106</v>
      </c>
      <c r="E80" s="91">
        <v>8998866820523</v>
      </c>
      <c r="F80" s="8" t="s">
        <v>275</v>
      </c>
    </row>
    <row r="81" spans="1:13" s="18" customFormat="1">
      <c r="A81" s="11" t="s">
        <v>89</v>
      </c>
      <c r="B81" s="5" t="s">
        <v>7</v>
      </c>
      <c r="C81" s="6">
        <v>988100480</v>
      </c>
      <c r="D81" s="7" t="s">
        <v>107</v>
      </c>
      <c r="E81" s="91">
        <v>8998866820493</v>
      </c>
      <c r="F81" s="8" t="s">
        <v>275</v>
      </c>
    </row>
    <row r="82" spans="1:13" s="18" customFormat="1">
      <c r="A82" s="11" t="s">
        <v>89</v>
      </c>
      <c r="B82" s="5" t="s">
        <v>7</v>
      </c>
      <c r="C82" s="6">
        <v>988100034</v>
      </c>
      <c r="D82" s="7" t="s">
        <v>108</v>
      </c>
      <c r="E82" s="91">
        <v>8998866820219</v>
      </c>
      <c r="F82" s="8" t="s">
        <v>275</v>
      </c>
    </row>
    <row r="83" spans="1:13" s="18" customFormat="1">
      <c r="A83" s="11" t="s">
        <v>89</v>
      </c>
      <c r="B83" s="5" t="s">
        <v>7</v>
      </c>
      <c r="C83" s="6">
        <v>988100537</v>
      </c>
      <c r="D83" s="7" t="s">
        <v>109</v>
      </c>
      <c r="E83" s="91">
        <v>8998866820592</v>
      </c>
      <c r="F83" s="8" t="s">
        <v>275</v>
      </c>
    </row>
    <row r="84" spans="1:13" s="18" customFormat="1">
      <c r="A84" s="11" t="s">
        <v>89</v>
      </c>
      <c r="B84" s="5" t="s">
        <v>7</v>
      </c>
      <c r="C84" s="6">
        <v>988100543</v>
      </c>
      <c r="D84" s="7" t="s">
        <v>110</v>
      </c>
      <c r="E84" s="91">
        <v>8998866820639</v>
      </c>
      <c r="F84" s="8">
        <v>29</v>
      </c>
    </row>
    <row r="85" spans="1:13" s="18" customFormat="1">
      <c r="A85" s="11" t="s">
        <v>89</v>
      </c>
      <c r="B85" s="5" t="s">
        <v>7</v>
      </c>
      <c r="C85" s="6">
        <v>988100544</v>
      </c>
      <c r="D85" s="7" t="s">
        <v>111</v>
      </c>
      <c r="E85" s="91">
        <v>8998866820585</v>
      </c>
      <c r="F85" s="8" t="s">
        <v>275</v>
      </c>
    </row>
    <row r="86" spans="1:13" s="18" customFormat="1">
      <c r="A86" s="11" t="s">
        <v>89</v>
      </c>
      <c r="B86" s="5" t="s">
        <v>7</v>
      </c>
      <c r="C86" s="6">
        <v>988100600</v>
      </c>
      <c r="D86" s="7" t="s">
        <v>112</v>
      </c>
      <c r="E86" s="91">
        <v>8998866820653</v>
      </c>
      <c r="F86" s="8">
        <v>40</v>
      </c>
    </row>
    <row r="87" spans="1:13" s="18" customFormat="1">
      <c r="A87" s="11" t="s">
        <v>89</v>
      </c>
      <c r="B87" s="5" t="s">
        <v>7</v>
      </c>
      <c r="C87" s="6">
        <v>988100627</v>
      </c>
      <c r="D87" s="7" t="s">
        <v>113</v>
      </c>
      <c r="E87" s="91">
        <v>8998866820660</v>
      </c>
      <c r="F87" s="8" t="s">
        <v>275</v>
      </c>
    </row>
    <row r="88" spans="1:13" s="18" customFormat="1">
      <c r="A88" s="11" t="s">
        <v>89</v>
      </c>
      <c r="B88" s="5" t="s">
        <v>7</v>
      </c>
      <c r="C88" s="6">
        <v>988100640</v>
      </c>
      <c r="D88" s="7" t="s">
        <v>114</v>
      </c>
      <c r="E88" s="91">
        <v>8998866820677</v>
      </c>
      <c r="F88" s="8" t="s">
        <v>275</v>
      </c>
    </row>
    <row r="89" spans="1:13" s="18" customFormat="1">
      <c r="A89" s="11" t="s">
        <v>89</v>
      </c>
      <c r="B89" s="5" t="s">
        <v>7</v>
      </c>
      <c r="C89" s="6">
        <v>300043</v>
      </c>
      <c r="D89" s="7" t="s">
        <v>115</v>
      </c>
      <c r="E89" s="91">
        <v>8998866820042</v>
      </c>
      <c r="F89" s="8" t="s">
        <v>275</v>
      </c>
    </row>
    <row r="90" spans="1:13" s="18" customFormat="1">
      <c r="A90" s="11" t="s">
        <v>89</v>
      </c>
      <c r="B90" s="5" t="s">
        <v>7</v>
      </c>
      <c r="C90" s="6">
        <v>300046</v>
      </c>
      <c r="D90" s="7" t="s">
        <v>116</v>
      </c>
      <c r="E90" s="91">
        <v>8998866820103</v>
      </c>
      <c r="F90" s="8">
        <v>24</v>
      </c>
    </row>
    <row r="91" spans="1:13" s="18" customFormat="1">
      <c r="A91" s="11" t="s">
        <v>89</v>
      </c>
      <c r="B91" s="5" t="s">
        <v>7</v>
      </c>
      <c r="C91" s="6">
        <v>988100426</v>
      </c>
      <c r="D91" s="19" t="s">
        <v>117</v>
      </c>
      <c r="E91" s="20">
        <v>8998866820271</v>
      </c>
      <c r="F91" s="8">
        <v>23</v>
      </c>
    </row>
    <row r="92" spans="1:13">
      <c r="A92" s="5" t="s">
        <v>25</v>
      </c>
      <c r="B92" s="5" t="s">
        <v>7</v>
      </c>
      <c r="C92" s="6">
        <v>988100435</v>
      </c>
      <c r="D92" s="7" t="s">
        <v>118</v>
      </c>
      <c r="E92" s="20">
        <v>8886467100246</v>
      </c>
      <c r="F92" s="8" t="s">
        <v>275</v>
      </c>
      <c r="G92" s="9"/>
      <c r="H92" s="9"/>
      <c r="I92" s="9"/>
      <c r="J92" s="9"/>
      <c r="K92" s="9"/>
      <c r="M92" s="9"/>
    </row>
    <row r="93" spans="1:13">
      <c r="A93" s="5" t="s">
        <v>25</v>
      </c>
      <c r="B93" s="5" t="s">
        <v>7</v>
      </c>
      <c r="C93" s="6">
        <v>200235</v>
      </c>
      <c r="D93" s="7" t="s">
        <v>119</v>
      </c>
      <c r="E93" s="20">
        <v>8886467100260</v>
      </c>
      <c r="F93" s="8" t="s">
        <v>275</v>
      </c>
      <c r="G93" s="9"/>
      <c r="H93" s="9"/>
      <c r="I93" s="9"/>
      <c r="J93" s="9"/>
      <c r="K93" s="9"/>
      <c r="M93" s="9"/>
    </row>
    <row r="94" spans="1:13">
      <c r="A94" s="5" t="s">
        <v>89</v>
      </c>
      <c r="B94" s="5" t="s">
        <v>7</v>
      </c>
      <c r="C94" s="21">
        <v>988100667</v>
      </c>
      <c r="D94" s="9" t="s">
        <v>120</v>
      </c>
      <c r="E94" s="22">
        <v>8998866820691</v>
      </c>
      <c r="F94" s="8">
        <v>33</v>
      </c>
      <c r="G94" s="9"/>
      <c r="H94" s="9"/>
      <c r="I94" s="9"/>
      <c r="J94" s="9"/>
      <c r="K94" s="9"/>
      <c r="M94" s="9"/>
    </row>
    <row r="95" spans="1:13">
      <c r="A95" s="5" t="s">
        <v>25</v>
      </c>
      <c r="B95" s="5" t="s">
        <v>7</v>
      </c>
      <c r="C95" s="6">
        <v>988100663</v>
      </c>
      <c r="D95" s="15" t="s">
        <v>121</v>
      </c>
      <c r="E95" s="23" t="s">
        <v>122</v>
      </c>
      <c r="F95" s="8">
        <v>172</v>
      </c>
      <c r="G95" s="9"/>
      <c r="H95" s="9"/>
      <c r="I95" s="9"/>
      <c r="J95" s="9"/>
      <c r="K95" s="9"/>
      <c r="M95" s="9"/>
    </row>
    <row r="96" spans="1:13">
      <c r="A96" s="5" t="s">
        <v>25</v>
      </c>
      <c r="B96" s="5" t="s">
        <v>7</v>
      </c>
      <c r="C96" s="6">
        <v>988100611</v>
      </c>
      <c r="D96" s="17" t="s">
        <v>123</v>
      </c>
      <c r="E96" s="24">
        <v>89686729009</v>
      </c>
      <c r="F96" s="8">
        <v>136</v>
      </c>
      <c r="G96" s="9"/>
      <c r="H96" s="9"/>
      <c r="I96" s="9"/>
      <c r="J96" s="9"/>
      <c r="K96" s="9"/>
      <c r="M96" s="9"/>
    </row>
    <row r="97" spans="1:13">
      <c r="A97" s="11" t="s">
        <v>124</v>
      </c>
      <c r="B97" s="11" t="s">
        <v>41</v>
      </c>
      <c r="C97" s="6">
        <v>988100578</v>
      </c>
      <c r="D97" s="17" t="s">
        <v>125</v>
      </c>
      <c r="E97" s="20" t="s">
        <v>126</v>
      </c>
      <c r="F97" s="8">
        <v>33</v>
      </c>
      <c r="G97" s="9"/>
      <c r="H97" s="9"/>
      <c r="I97" s="9"/>
      <c r="J97" s="9"/>
      <c r="K97" s="9"/>
      <c r="M97" s="9"/>
    </row>
    <row r="98" spans="1:13">
      <c r="A98" s="11" t="s">
        <v>124</v>
      </c>
      <c r="B98" s="11" t="s">
        <v>41</v>
      </c>
      <c r="C98" s="6">
        <v>988100579</v>
      </c>
      <c r="D98" s="17" t="s">
        <v>127</v>
      </c>
      <c r="E98" s="20" t="s">
        <v>128</v>
      </c>
      <c r="F98" s="8">
        <v>33</v>
      </c>
      <c r="G98" s="9"/>
      <c r="H98" s="9"/>
      <c r="I98" s="9"/>
      <c r="J98" s="9"/>
      <c r="K98" s="9"/>
      <c r="M98" s="9"/>
    </row>
    <row r="99" spans="1:13">
      <c r="A99" s="11" t="s">
        <v>124</v>
      </c>
      <c r="B99" s="11" t="s">
        <v>41</v>
      </c>
      <c r="C99" s="6">
        <v>988100580</v>
      </c>
      <c r="D99" s="17" t="s">
        <v>129</v>
      </c>
      <c r="E99" s="20" t="s">
        <v>130</v>
      </c>
      <c r="F99" s="8">
        <v>34</v>
      </c>
      <c r="G99" s="9"/>
      <c r="H99" s="9"/>
      <c r="I99" s="9"/>
      <c r="J99" s="9"/>
      <c r="K99" s="9"/>
      <c r="M99" s="9"/>
    </row>
    <row r="100" spans="1:13">
      <c r="A100" s="11" t="s">
        <v>124</v>
      </c>
      <c r="B100" s="11" t="s">
        <v>41</v>
      </c>
      <c r="C100" s="25">
        <v>988100581</v>
      </c>
      <c r="D100" s="26" t="s">
        <v>131</v>
      </c>
      <c r="E100" s="27" t="s">
        <v>132</v>
      </c>
      <c r="F100" s="8">
        <v>30</v>
      </c>
      <c r="G100" s="9"/>
      <c r="H100" s="9"/>
      <c r="I100" s="9"/>
      <c r="J100" s="9"/>
      <c r="K100" s="9"/>
      <c r="M100" s="9"/>
    </row>
    <row r="101" spans="1:13">
      <c r="A101" s="11" t="s">
        <v>124</v>
      </c>
      <c r="B101" s="11" t="s">
        <v>41</v>
      </c>
      <c r="C101" s="6">
        <v>988100582</v>
      </c>
      <c r="D101" s="17" t="s">
        <v>133</v>
      </c>
      <c r="E101" s="20">
        <v>8997233270398</v>
      </c>
      <c r="F101" s="8">
        <v>22</v>
      </c>
      <c r="G101" s="9"/>
      <c r="H101" s="9"/>
      <c r="I101" s="9"/>
      <c r="J101" s="9"/>
      <c r="K101" s="9"/>
      <c r="M101" s="9"/>
    </row>
    <row r="102" spans="1:13">
      <c r="A102" s="11" t="s">
        <v>124</v>
      </c>
      <c r="B102" s="11" t="s">
        <v>41</v>
      </c>
      <c r="C102" s="25">
        <v>988100583</v>
      </c>
      <c r="D102" s="26" t="s">
        <v>134</v>
      </c>
      <c r="E102" s="27">
        <v>8997233270381</v>
      </c>
      <c r="F102" s="8">
        <v>23</v>
      </c>
      <c r="G102" s="9"/>
      <c r="H102" s="9"/>
      <c r="I102" s="9"/>
      <c r="J102" s="9"/>
      <c r="K102" s="9"/>
      <c r="M102" s="9"/>
    </row>
    <row r="103" spans="1:13">
      <c r="A103" s="11" t="s">
        <v>124</v>
      </c>
      <c r="B103" s="11" t="s">
        <v>41</v>
      </c>
      <c r="C103" s="6">
        <v>988100584</v>
      </c>
      <c r="D103" s="17" t="s">
        <v>135</v>
      </c>
      <c r="E103" s="20">
        <v>8997233270404</v>
      </c>
      <c r="F103" s="8">
        <v>32</v>
      </c>
      <c r="G103" s="9"/>
      <c r="H103" s="9"/>
      <c r="I103" s="9"/>
      <c r="J103" s="9"/>
      <c r="K103" s="9"/>
      <c r="M103" s="9"/>
    </row>
    <row r="104" spans="1:13">
      <c r="A104" s="11" t="s">
        <v>124</v>
      </c>
      <c r="B104" s="11" t="s">
        <v>41</v>
      </c>
      <c r="C104" s="25">
        <v>988100585</v>
      </c>
      <c r="D104" s="26" t="s">
        <v>136</v>
      </c>
      <c r="E104" s="27">
        <v>8997233270428</v>
      </c>
      <c r="F104" s="8">
        <v>39</v>
      </c>
      <c r="G104" s="9"/>
      <c r="H104" s="9"/>
      <c r="I104" s="9"/>
      <c r="J104" s="9"/>
      <c r="K104" s="9"/>
      <c r="M104" s="9"/>
    </row>
    <row r="105" spans="1:13">
      <c r="A105" s="11" t="s">
        <v>124</v>
      </c>
      <c r="B105" s="11" t="s">
        <v>41</v>
      </c>
      <c r="C105" s="25">
        <v>988100587</v>
      </c>
      <c r="D105" s="26" t="s">
        <v>137</v>
      </c>
      <c r="E105" s="27">
        <v>8997233270862</v>
      </c>
      <c r="F105" s="8" t="s">
        <v>275</v>
      </c>
      <c r="G105" s="9"/>
      <c r="H105" s="9"/>
      <c r="I105" s="9"/>
      <c r="J105" s="9"/>
      <c r="K105" s="9"/>
      <c r="M105" s="9"/>
    </row>
    <row r="106" spans="1:13">
      <c r="A106" s="11" t="s">
        <v>124</v>
      </c>
      <c r="B106" s="11" t="s">
        <v>41</v>
      </c>
      <c r="C106" s="6">
        <v>988100588</v>
      </c>
      <c r="D106" s="17" t="s">
        <v>138</v>
      </c>
      <c r="E106" s="20">
        <v>8997233270855</v>
      </c>
      <c r="F106" s="8" t="s">
        <v>275</v>
      </c>
      <c r="G106" s="9"/>
      <c r="H106" s="9"/>
      <c r="I106" s="9"/>
      <c r="J106" s="9"/>
      <c r="K106" s="9"/>
      <c r="M106" s="9"/>
    </row>
    <row r="107" spans="1:13">
      <c r="A107" s="11" t="s">
        <v>124</v>
      </c>
      <c r="B107" s="11" t="s">
        <v>41</v>
      </c>
      <c r="C107" s="25">
        <v>988100589</v>
      </c>
      <c r="D107" s="26" t="s">
        <v>139</v>
      </c>
      <c r="E107" s="27">
        <v>8997233270848</v>
      </c>
      <c r="F107" s="8" t="s">
        <v>275</v>
      </c>
      <c r="G107" s="9"/>
      <c r="H107" s="9"/>
      <c r="I107" s="9"/>
      <c r="J107" s="9"/>
      <c r="K107" s="9"/>
      <c r="M107" s="9"/>
    </row>
    <row r="108" spans="1:13">
      <c r="A108" s="11" t="s">
        <v>124</v>
      </c>
      <c r="B108" s="11" t="s">
        <v>41</v>
      </c>
      <c r="C108" s="6">
        <v>988100590</v>
      </c>
      <c r="D108" s="17" t="s">
        <v>140</v>
      </c>
      <c r="E108" s="20">
        <v>8997233270831</v>
      </c>
      <c r="F108" s="8" t="s">
        <v>275</v>
      </c>
      <c r="G108" s="9"/>
      <c r="H108" s="9"/>
      <c r="I108" s="9"/>
      <c r="J108" s="9"/>
      <c r="K108" s="9"/>
      <c r="M108" s="9"/>
    </row>
    <row r="109" spans="1:13">
      <c r="A109" s="11" t="s">
        <v>124</v>
      </c>
      <c r="B109" s="11" t="s">
        <v>41</v>
      </c>
      <c r="C109" s="25">
        <v>988100591</v>
      </c>
      <c r="D109" s="26" t="s">
        <v>141</v>
      </c>
      <c r="E109" s="27">
        <v>8997233270954</v>
      </c>
      <c r="F109" s="8" t="s">
        <v>275</v>
      </c>
      <c r="G109" s="9"/>
      <c r="H109" s="9"/>
      <c r="I109" s="9"/>
      <c r="J109" s="9"/>
      <c r="K109" s="9"/>
      <c r="M109" s="9"/>
    </row>
    <row r="110" spans="1:13">
      <c r="A110" s="11" t="s">
        <v>124</v>
      </c>
      <c r="B110" s="11" t="s">
        <v>41</v>
      </c>
      <c r="C110" s="6">
        <v>988100592</v>
      </c>
      <c r="D110" s="17" t="s">
        <v>142</v>
      </c>
      <c r="E110" s="20">
        <v>8997233270978</v>
      </c>
      <c r="F110" s="8" t="s">
        <v>275</v>
      </c>
      <c r="G110" s="9"/>
      <c r="H110" s="9"/>
      <c r="I110" s="9"/>
      <c r="J110" s="9"/>
      <c r="K110" s="9"/>
      <c r="M110" s="9"/>
    </row>
    <row r="111" spans="1:13">
      <c r="A111" s="11" t="s">
        <v>124</v>
      </c>
      <c r="B111" s="11" t="s">
        <v>41</v>
      </c>
      <c r="C111" s="25">
        <v>988100593</v>
      </c>
      <c r="D111" s="26" t="s">
        <v>143</v>
      </c>
      <c r="E111" s="27">
        <v>8997233270961</v>
      </c>
      <c r="F111" s="8" t="s">
        <v>275</v>
      </c>
      <c r="G111" s="9"/>
      <c r="H111" s="9"/>
      <c r="I111" s="9"/>
      <c r="J111" s="9"/>
      <c r="K111" s="9"/>
      <c r="M111" s="9"/>
    </row>
    <row r="112" spans="1:13">
      <c r="A112" s="11" t="s">
        <v>124</v>
      </c>
      <c r="B112" s="11" t="s">
        <v>41</v>
      </c>
      <c r="C112" s="6">
        <v>988100594</v>
      </c>
      <c r="D112" s="17" t="s">
        <v>144</v>
      </c>
      <c r="E112" s="20">
        <v>8997233270565</v>
      </c>
      <c r="F112" s="8" t="s">
        <v>275</v>
      </c>
      <c r="G112" s="9"/>
      <c r="H112" s="9"/>
      <c r="I112" s="9"/>
      <c r="J112" s="9"/>
      <c r="K112" s="9"/>
      <c r="M112" s="9"/>
    </row>
    <row r="113" spans="1:13">
      <c r="A113" s="11" t="s">
        <v>124</v>
      </c>
      <c r="B113" s="11" t="s">
        <v>41</v>
      </c>
      <c r="C113" s="25">
        <v>988100595</v>
      </c>
      <c r="D113" s="26" t="s">
        <v>145</v>
      </c>
      <c r="E113" s="27">
        <v>8997233270558</v>
      </c>
      <c r="F113" s="8" t="s">
        <v>275</v>
      </c>
      <c r="G113" s="9"/>
      <c r="H113" s="9"/>
      <c r="I113" s="9"/>
      <c r="J113" s="9"/>
      <c r="K113" s="9"/>
      <c r="M113" s="9"/>
    </row>
    <row r="114" spans="1:13">
      <c r="A114" s="11" t="s">
        <v>124</v>
      </c>
      <c r="B114" s="11" t="s">
        <v>41</v>
      </c>
      <c r="C114" s="29">
        <v>988100596</v>
      </c>
      <c r="D114" s="30" t="s">
        <v>146</v>
      </c>
      <c r="E114" s="92">
        <v>8997233270541</v>
      </c>
      <c r="F114" s="8" t="s">
        <v>275</v>
      </c>
      <c r="G114" s="9"/>
      <c r="H114" s="9"/>
      <c r="I114" s="9"/>
      <c r="J114" s="9"/>
      <c r="K114" s="9"/>
      <c r="M114" s="9"/>
    </row>
    <row r="115" spans="1:13">
      <c r="A115" s="11" t="s">
        <v>124</v>
      </c>
      <c r="B115" s="11" t="s">
        <v>41</v>
      </c>
      <c r="C115" s="6">
        <v>988100634</v>
      </c>
      <c r="D115" s="17" t="s">
        <v>147</v>
      </c>
      <c r="E115" s="24">
        <v>8997233270923</v>
      </c>
      <c r="F115" s="8" t="s">
        <v>275</v>
      </c>
      <c r="G115" s="9"/>
      <c r="H115" s="9"/>
      <c r="I115" s="9"/>
      <c r="J115" s="9"/>
      <c r="K115" s="9"/>
      <c r="M115" s="9"/>
    </row>
    <row r="116" spans="1:13">
      <c r="A116" s="11" t="s">
        <v>124</v>
      </c>
      <c r="B116" s="11" t="s">
        <v>41</v>
      </c>
      <c r="C116" s="6">
        <v>988100635</v>
      </c>
      <c r="D116" s="17" t="s">
        <v>148</v>
      </c>
      <c r="E116" s="24">
        <v>8997233270916</v>
      </c>
      <c r="F116" s="8" t="s">
        <v>275</v>
      </c>
      <c r="G116" s="9"/>
      <c r="H116" s="9"/>
      <c r="I116" s="9"/>
      <c r="J116" s="9"/>
      <c r="K116" s="9"/>
      <c r="M116" s="9"/>
    </row>
    <row r="117" spans="1:13">
      <c r="A117" s="11" t="s">
        <v>124</v>
      </c>
      <c r="B117" s="11" t="s">
        <v>41</v>
      </c>
      <c r="C117" s="29">
        <v>988100636</v>
      </c>
      <c r="D117" s="30" t="s">
        <v>149</v>
      </c>
      <c r="E117" s="32">
        <v>8997233270909</v>
      </c>
      <c r="F117" s="8" t="s">
        <v>275</v>
      </c>
      <c r="G117" s="9"/>
      <c r="H117" s="9"/>
      <c r="I117" s="9"/>
      <c r="J117" s="9"/>
      <c r="K117" s="9"/>
      <c r="M117" s="9"/>
    </row>
    <row r="118" spans="1:13">
      <c r="A118" s="33" t="s">
        <v>124</v>
      </c>
      <c r="B118" s="33" t="s">
        <v>41</v>
      </c>
      <c r="C118" s="34">
        <v>988100664</v>
      </c>
      <c r="D118" s="35" t="s">
        <v>150</v>
      </c>
      <c r="E118" s="36">
        <v>8997233271043</v>
      </c>
      <c r="F118" s="8" t="s">
        <v>275</v>
      </c>
      <c r="G118" s="9"/>
      <c r="H118" s="9"/>
      <c r="I118" s="9"/>
      <c r="J118" s="9"/>
      <c r="K118" s="9"/>
      <c r="M118" s="9"/>
    </row>
    <row r="119" spans="1:13">
      <c r="A119" s="33" t="s">
        <v>124</v>
      </c>
      <c r="B119" s="33" t="s">
        <v>41</v>
      </c>
      <c r="C119" s="37">
        <v>988100665</v>
      </c>
      <c r="D119" s="35" t="s">
        <v>151</v>
      </c>
      <c r="E119" s="38">
        <v>8997233271029</v>
      </c>
      <c r="F119" s="8" t="s">
        <v>275</v>
      </c>
      <c r="G119" s="9"/>
      <c r="H119" s="9"/>
      <c r="I119" s="9"/>
      <c r="J119" s="9"/>
      <c r="K119" s="9"/>
      <c r="M119" s="9"/>
    </row>
    <row r="120" spans="1:13">
      <c r="A120" s="33" t="s">
        <v>124</v>
      </c>
      <c r="B120" s="33" t="s">
        <v>41</v>
      </c>
      <c r="C120" s="37">
        <v>988100666</v>
      </c>
      <c r="D120" s="35" t="s">
        <v>152</v>
      </c>
      <c r="E120" s="38">
        <v>8997233271036</v>
      </c>
      <c r="F120" s="8" t="s">
        <v>275</v>
      </c>
      <c r="G120" s="9"/>
      <c r="H120" s="9"/>
      <c r="I120" s="9"/>
      <c r="J120" s="9"/>
      <c r="K120" s="9"/>
      <c r="M120" s="9"/>
    </row>
    <row r="121" spans="1:13">
      <c r="A121" s="11" t="s">
        <v>25</v>
      </c>
      <c r="B121" s="11" t="s">
        <v>41</v>
      </c>
      <c r="C121" s="6">
        <v>988100469</v>
      </c>
      <c r="D121" s="7" t="s">
        <v>153</v>
      </c>
      <c r="E121" s="20" t="s">
        <v>154</v>
      </c>
      <c r="F121" s="8">
        <v>6</v>
      </c>
      <c r="G121" s="9"/>
      <c r="H121" s="9"/>
      <c r="I121" s="9"/>
      <c r="J121" s="9"/>
      <c r="K121" s="9"/>
      <c r="M121" s="9"/>
    </row>
    <row r="122" spans="1:13">
      <c r="A122" s="5" t="s">
        <v>40</v>
      </c>
      <c r="B122" s="5" t="s">
        <v>7</v>
      </c>
      <c r="C122" s="21">
        <v>988100668</v>
      </c>
      <c r="D122" s="9" t="s">
        <v>155</v>
      </c>
      <c r="E122" s="24" t="s">
        <v>156</v>
      </c>
      <c r="F122" s="8">
        <v>20</v>
      </c>
      <c r="G122" s="9"/>
      <c r="H122" s="9"/>
      <c r="I122" s="9"/>
      <c r="J122" s="9"/>
      <c r="K122" s="9"/>
      <c r="M122" s="9"/>
    </row>
    <row r="123" spans="1:13">
      <c r="A123" s="11" t="s">
        <v>25</v>
      </c>
      <c r="B123" s="11" t="s">
        <v>7</v>
      </c>
      <c r="C123" s="39">
        <v>500009</v>
      </c>
      <c r="D123" s="40" t="s">
        <v>157</v>
      </c>
      <c r="E123" s="24">
        <v>8998685021002</v>
      </c>
      <c r="F123" s="8" t="s">
        <v>275</v>
      </c>
      <c r="G123" s="9"/>
      <c r="H123" s="9"/>
      <c r="I123" s="9"/>
      <c r="J123" s="9"/>
      <c r="K123" s="9"/>
      <c r="M123" s="9"/>
    </row>
    <row r="124" spans="1:13">
      <c r="A124" s="11" t="s">
        <v>25</v>
      </c>
      <c r="B124" s="11" t="s">
        <v>7</v>
      </c>
      <c r="C124" s="39">
        <v>500056</v>
      </c>
      <c r="D124" s="40" t="s">
        <v>158</v>
      </c>
      <c r="E124" s="24">
        <v>8998685051306</v>
      </c>
      <c r="F124" s="8">
        <v>8</v>
      </c>
      <c r="G124" s="9"/>
      <c r="H124" s="9"/>
      <c r="I124" s="9"/>
      <c r="J124" s="9"/>
      <c r="K124" s="9"/>
      <c r="M124" s="9"/>
    </row>
    <row r="125" spans="1:13">
      <c r="A125" s="11" t="s">
        <v>25</v>
      </c>
      <c r="B125" s="11" t="s">
        <v>7</v>
      </c>
      <c r="C125" s="39">
        <v>990089</v>
      </c>
      <c r="D125" s="40" t="s">
        <v>159</v>
      </c>
      <c r="E125" s="24">
        <v>8998685011003</v>
      </c>
      <c r="F125" s="8">
        <v>12</v>
      </c>
      <c r="G125" s="9"/>
      <c r="H125" s="9"/>
      <c r="I125" s="9"/>
      <c r="J125" s="9"/>
      <c r="K125" s="9"/>
      <c r="M125" s="9"/>
    </row>
    <row r="126" spans="1:13">
      <c r="A126" s="11" t="s">
        <v>89</v>
      </c>
      <c r="B126" s="11" t="s">
        <v>7</v>
      </c>
      <c r="C126" s="21">
        <v>988100670</v>
      </c>
      <c r="D126" s="41" t="s">
        <v>160</v>
      </c>
      <c r="E126" s="24">
        <v>8998866820738</v>
      </c>
      <c r="F126" s="8" t="s">
        <v>275</v>
      </c>
      <c r="G126" s="9"/>
      <c r="H126" s="9"/>
      <c r="I126" s="9"/>
      <c r="J126" s="9"/>
      <c r="K126" s="9"/>
      <c r="M126" s="9"/>
    </row>
    <row r="127" spans="1:13">
      <c r="A127" s="11" t="s">
        <v>89</v>
      </c>
      <c r="B127" s="11" t="s">
        <v>7</v>
      </c>
      <c r="C127" s="21">
        <v>988100671</v>
      </c>
      <c r="D127" s="41" t="s">
        <v>161</v>
      </c>
      <c r="E127" s="24">
        <v>8998866820714</v>
      </c>
      <c r="F127" s="8" t="s">
        <v>275</v>
      </c>
      <c r="G127" s="9"/>
      <c r="H127" s="9"/>
      <c r="I127" s="9"/>
      <c r="J127" s="9"/>
      <c r="K127" s="9"/>
      <c r="M127" s="9"/>
    </row>
    <row r="128" spans="1:13">
      <c r="A128" s="11" t="s">
        <v>6</v>
      </c>
      <c r="B128" s="11" t="s">
        <v>7</v>
      </c>
      <c r="C128" s="6">
        <v>100043</v>
      </c>
      <c r="D128" s="7" t="s">
        <v>162</v>
      </c>
      <c r="E128" s="20">
        <v>8996001600221</v>
      </c>
      <c r="F128" s="8">
        <v>23</v>
      </c>
      <c r="G128" s="9"/>
      <c r="H128" s="9"/>
      <c r="I128" s="9"/>
      <c r="J128" s="9"/>
      <c r="K128" s="9"/>
      <c r="M128" s="9"/>
    </row>
    <row r="129" spans="1:13">
      <c r="A129" s="11" t="s">
        <v>6</v>
      </c>
      <c r="B129" s="11" t="s">
        <v>7</v>
      </c>
      <c r="C129" s="42">
        <v>100041</v>
      </c>
      <c r="D129" s="43" t="s">
        <v>163</v>
      </c>
      <c r="E129" s="93">
        <v>8996001600146</v>
      </c>
      <c r="F129" s="8">
        <v>80</v>
      </c>
      <c r="G129" s="9"/>
      <c r="H129" s="9"/>
      <c r="I129" s="9"/>
      <c r="J129" s="9"/>
      <c r="K129" s="9"/>
      <c r="M129" s="9"/>
    </row>
    <row r="130" spans="1:13">
      <c r="A130" s="11" t="s">
        <v>6</v>
      </c>
      <c r="B130" s="11" t="s">
        <v>7</v>
      </c>
      <c r="C130" s="6">
        <v>988100672</v>
      </c>
      <c r="D130" s="41" t="s">
        <v>164</v>
      </c>
      <c r="E130" s="38">
        <v>8996001600856</v>
      </c>
      <c r="F130" s="8" t="s">
        <v>275</v>
      </c>
      <c r="G130" s="9"/>
      <c r="H130" s="9"/>
      <c r="I130" s="9"/>
      <c r="J130" s="9"/>
      <c r="K130" s="9"/>
      <c r="M130" s="9"/>
    </row>
    <row r="131" spans="1:13">
      <c r="A131" s="11" t="s">
        <v>6</v>
      </c>
      <c r="B131" s="11" t="s">
        <v>7</v>
      </c>
      <c r="C131" s="14">
        <v>100034</v>
      </c>
      <c r="D131" s="15" t="s">
        <v>165</v>
      </c>
      <c r="E131" s="16">
        <v>8997009510055</v>
      </c>
      <c r="F131" s="8">
        <v>64</v>
      </c>
      <c r="G131" s="9"/>
      <c r="H131" s="9"/>
      <c r="I131" s="9"/>
      <c r="J131" s="9"/>
      <c r="K131" s="9"/>
      <c r="M131" s="9"/>
    </row>
    <row r="132" spans="1:13">
      <c r="A132" s="11" t="s">
        <v>6</v>
      </c>
      <c r="B132" s="11" t="s">
        <v>7</v>
      </c>
      <c r="C132" s="14">
        <v>100035</v>
      </c>
      <c r="D132" s="15" t="s">
        <v>166</v>
      </c>
      <c r="E132" s="16">
        <v>8997009510017</v>
      </c>
      <c r="F132" s="8">
        <v>85</v>
      </c>
      <c r="G132" s="9"/>
      <c r="H132" s="9"/>
      <c r="I132" s="9"/>
      <c r="J132" s="9"/>
      <c r="K132" s="9"/>
      <c r="M132" s="9"/>
    </row>
    <row r="133" spans="1:13">
      <c r="A133" s="11" t="s">
        <v>6</v>
      </c>
      <c r="B133" s="11" t="s">
        <v>7</v>
      </c>
      <c r="C133" s="14">
        <v>100037</v>
      </c>
      <c r="D133" s="15" t="s">
        <v>167</v>
      </c>
      <c r="E133" s="16">
        <v>8997009510116</v>
      </c>
      <c r="F133" s="8">
        <v>104</v>
      </c>
      <c r="G133" s="9"/>
      <c r="H133" s="9"/>
      <c r="I133" s="9"/>
      <c r="J133" s="9"/>
      <c r="K133" s="9"/>
      <c r="M133" s="9"/>
    </row>
    <row r="134" spans="1:13">
      <c r="A134" s="11" t="s">
        <v>6</v>
      </c>
      <c r="B134" s="11" t="s">
        <v>7</v>
      </c>
      <c r="C134" s="14">
        <v>100030</v>
      </c>
      <c r="D134" s="15" t="s">
        <v>168</v>
      </c>
      <c r="E134" s="16">
        <v>8997009510123</v>
      </c>
      <c r="F134" s="8">
        <v>74</v>
      </c>
      <c r="G134" s="9"/>
      <c r="H134" s="9"/>
      <c r="I134" s="9"/>
      <c r="J134" s="9"/>
      <c r="K134" s="9"/>
      <c r="M134" s="9"/>
    </row>
    <row r="135" spans="1:13">
      <c r="A135" s="11" t="s">
        <v>25</v>
      </c>
      <c r="B135" s="11" t="s">
        <v>41</v>
      </c>
      <c r="C135" s="21">
        <v>988100677</v>
      </c>
      <c r="D135" s="12" t="s">
        <v>169</v>
      </c>
      <c r="E135" s="94">
        <v>44788233</v>
      </c>
      <c r="F135" s="8" t="s">
        <v>275</v>
      </c>
      <c r="G135" s="9"/>
      <c r="H135" s="9"/>
      <c r="I135" s="9"/>
      <c r="J135" s="9"/>
      <c r="K135" s="9"/>
      <c r="M135" s="9"/>
    </row>
    <row r="136" spans="1:13">
      <c r="A136" s="11" t="s">
        <v>25</v>
      </c>
      <c r="B136" s="11" t="s">
        <v>41</v>
      </c>
      <c r="C136" s="21">
        <v>988100678</v>
      </c>
      <c r="D136" s="12" t="s">
        <v>170</v>
      </c>
      <c r="E136" s="94">
        <v>44758233</v>
      </c>
      <c r="F136" s="8" t="s">
        <v>275</v>
      </c>
      <c r="G136" s="9"/>
      <c r="H136" s="9"/>
      <c r="I136" s="9"/>
      <c r="J136" s="9"/>
      <c r="K136" s="9"/>
      <c r="M136" s="9"/>
    </row>
    <row r="137" spans="1:13">
      <c r="A137" s="11" t="s">
        <v>6</v>
      </c>
      <c r="B137" s="11" t="s">
        <v>7</v>
      </c>
      <c r="C137" s="44">
        <v>988100449</v>
      </c>
      <c r="D137" s="45" t="s">
        <v>171</v>
      </c>
      <c r="E137" s="46">
        <v>8996001600597</v>
      </c>
      <c r="F137" s="8" t="s">
        <v>275</v>
      </c>
      <c r="G137" s="9"/>
      <c r="H137" s="9"/>
      <c r="I137" s="9"/>
      <c r="J137" s="9"/>
      <c r="K137" s="9"/>
      <c r="M137" s="9"/>
    </row>
    <row r="138" spans="1:13">
      <c r="A138" s="11" t="s">
        <v>6</v>
      </c>
      <c r="B138" s="11" t="s">
        <v>41</v>
      </c>
      <c r="C138" s="6">
        <v>988100680</v>
      </c>
      <c r="D138" s="41" t="s">
        <v>172</v>
      </c>
      <c r="E138" s="24">
        <v>8997231600371</v>
      </c>
      <c r="F138" s="8" t="s">
        <v>275</v>
      </c>
      <c r="G138" s="9"/>
      <c r="H138" s="9"/>
      <c r="I138" s="9"/>
      <c r="J138" s="9"/>
      <c r="K138" s="9"/>
      <c r="M138" s="9"/>
    </row>
    <row r="139" spans="1:13">
      <c r="A139" s="11" t="s">
        <v>6</v>
      </c>
      <c r="B139" s="11" t="s">
        <v>41</v>
      </c>
      <c r="C139" s="47">
        <v>988100686</v>
      </c>
      <c r="D139" s="12" t="s">
        <v>173</v>
      </c>
      <c r="E139" s="48" t="s">
        <v>174</v>
      </c>
      <c r="F139" s="8" t="s">
        <v>275</v>
      </c>
      <c r="G139" s="9"/>
      <c r="H139" s="9"/>
      <c r="I139" s="9"/>
      <c r="J139" s="9"/>
      <c r="K139" s="9"/>
      <c r="M139" s="9"/>
    </row>
    <row r="140" spans="1:13">
      <c r="A140" s="11" t="s">
        <v>25</v>
      </c>
      <c r="B140" s="11" t="s">
        <v>41</v>
      </c>
      <c r="C140" s="6">
        <v>988100660</v>
      </c>
      <c r="D140" s="40" t="s">
        <v>175</v>
      </c>
      <c r="E140" s="24" t="s">
        <v>176</v>
      </c>
      <c r="F140" s="8">
        <v>2</v>
      </c>
      <c r="G140" s="9"/>
      <c r="H140" s="9"/>
      <c r="I140" s="9"/>
      <c r="J140" s="9"/>
      <c r="K140" s="9"/>
      <c r="M140" s="9"/>
    </row>
    <row r="141" spans="1:13">
      <c r="A141" s="11" t="s">
        <v>25</v>
      </c>
      <c r="B141" s="11" t="s">
        <v>7</v>
      </c>
      <c r="C141" s="47">
        <v>988100688</v>
      </c>
      <c r="D141" s="41" t="s">
        <v>177</v>
      </c>
      <c r="E141" s="23">
        <v>8994075240725</v>
      </c>
      <c r="F141" s="8" t="s">
        <v>275</v>
      </c>
      <c r="G141" s="9"/>
      <c r="H141" s="9"/>
      <c r="I141" s="9"/>
      <c r="J141" s="9"/>
      <c r="K141" s="9"/>
      <c r="M141" s="9"/>
    </row>
    <row r="142" spans="1:13">
      <c r="A142" s="11" t="s">
        <v>25</v>
      </c>
      <c r="B142" s="11" t="s">
        <v>7</v>
      </c>
      <c r="C142" s="47">
        <v>988100689</v>
      </c>
      <c r="D142" s="41" t="s">
        <v>178</v>
      </c>
      <c r="E142" s="23">
        <v>8994075240657</v>
      </c>
      <c r="F142" s="8">
        <v>16</v>
      </c>
      <c r="G142" s="9"/>
      <c r="H142" s="9"/>
      <c r="I142" s="9"/>
      <c r="J142" s="9"/>
      <c r="K142" s="9"/>
      <c r="M142" s="9"/>
    </row>
    <row r="143" spans="1:13">
      <c r="A143" s="11" t="s">
        <v>25</v>
      </c>
      <c r="B143" s="11" t="s">
        <v>7</v>
      </c>
      <c r="C143" s="47">
        <v>988100690</v>
      </c>
      <c r="D143" s="41" t="s">
        <v>179</v>
      </c>
      <c r="E143" s="23">
        <v>8994075240732</v>
      </c>
      <c r="F143" s="8">
        <v>17</v>
      </c>
      <c r="G143" s="9"/>
      <c r="H143" s="9"/>
      <c r="I143" s="9"/>
      <c r="J143" s="9"/>
      <c r="K143" s="9"/>
      <c r="M143" s="9"/>
    </row>
    <row r="144" spans="1:13">
      <c r="A144" s="11" t="s">
        <v>25</v>
      </c>
      <c r="B144" s="11" t="s">
        <v>7</v>
      </c>
      <c r="C144" s="47"/>
      <c r="D144" s="41" t="s">
        <v>300</v>
      </c>
      <c r="E144" s="23" t="s">
        <v>301</v>
      </c>
      <c r="F144" s="8" t="s">
        <v>275</v>
      </c>
      <c r="G144" s="9"/>
      <c r="H144" s="9"/>
      <c r="I144" s="9"/>
      <c r="J144" s="9"/>
      <c r="K144" s="9"/>
      <c r="M144" s="9"/>
    </row>
    <row r="145" spans="1:13">
      <c r="A145" s="11" t="s">
        <v>25</v>
      </c>
      <c r="B145" s="11" t="s">
        <v>7</v>
      </c>
      <c r="C145" s="47"/>
      <c r="D145" s="41" t="s">
        <v>298</v>
      </c>
      <c r="E145" s="23" t="s">
        <v>299</v>
      </c>
      <c r="F145" s="8">
        <v>25</v>
      </c>
      <c r="G145" s="9"/>
      <c r="H145" s="9"/>
      <c r="I145" s="9"/>
      <c r="J145" s="9"/>
      <c r="K145" s="9"/>
      <c r="M145" s="9"/>
    </row>
    <row r="146" spans="1:13">
      <c r="A146" s="11" t="s">
        <v>25</v>
      </c>
      <c r="B146" s="11" t="s">
        <v>7</v>
      </c>
      <c r="C146" s="49">
        <v>988100691</v>
      </c>
      <c r="D146" s="9" t="s">
        <v>180</v>
      </c>
      <c r="E146" s="50">
        <v>8994075240749</v>
      </c>
      <c r="F146" s="8">
        <v>15</v>
      </c>
      <c r="G146" s="9"/>
      <c r="H146" s="9"/>
      <c r="I146" s="9"/>
      <c r="J146" s="9"/>
      <c r="K146" s="9"/>
      <c r="M146" s="9"/>
    </row>
    <row r="147" spans="1:13">
      <c r="A147" s="11" t="s">
        <v>25</v>
      </c>
      <c r="B147" s="11" t="s">
        <v>7</v>
      </c>
      <c r="C147" s="6">
        <v>200290</v>
      </c>
      <c r="D147" s="7" t="s">
        <v>181</v>
      </c>
      <c r="E147" s="91">
        <v>8851019210124</v>
      </c>
      <c r="F147" s="8" t="s">
        <v>275</v>
      </c>
      <c r="G147" s="9"/>
      <c r="H147" s="9"/>
      <c r="I147" s="9"/>
      <c r="J147" s="9"/>
      <c r="K147" s="9"/>
      <c r="M147" s="9"/>
    </row>
    <row r="148" spans="1:13">
      <c r="A148" s="11" t="s">
        <v>25</v>
      </c>
      <c r="B148" s="11" t="s">
        <v>7</v>
      </c>
      <c r="C148" s="6">
        <v>200289</v>
      </c>
      <c r="D148" s="7" t="s">
        <v>182</v>
      </c>
      <c r="E148" s="91">
        <v>8851019210117</v>
      </c>
      <c r="F148" s="8" t="s">
        <v>275</v>
      </c>
      <c r="G148" s="9"/>
      <c r="H148" s="9"/>
      <c r="I148" s="9"/>
      <c r="J148" s="9"/>
      <c r="K148" s="9"/>
      <c r="M148" s="9"/>
    </row>
    <row r="149" spans="1:13">
      <c r="A149" s="11" t="s">
        <v>25</v>
      </c>
      <c r="B149" s="11" t="s">
        <v>7</v>
      </c>
      <c r="C149" s="6">
        <v>200292</v>
      </c>
      <c r="D149" s="19" t="s">
        <v>183</v>
      </c>
      <c r="E149" s="20">
        <v>8851019210223</v>
      </c>
      <c r="F149" s="8" t="s">
        <v>275</v>
      </c>
      <c r="G149" s="9"/>
      <c r="H149" s="9"/>
      <c r="I149" s="9"/>
      <c r="J149" s="9"/>
      <c r="K149" s="9"/>
      <c r="M149" s="9"/>
    </row>
    <row r="150" spans="1:13">
      <c r="A150" s="11" t="s">
        <v>25</v>
      </c>
      <c r="B150" s="11" t="s">
        <v>7</v>
      </c>
      <c r="C150" s="6">
        <v>200415</v>
      </c>
      <c r="D150" s="19" t="s">
        <v>184</v>
      </c>
      <c r="E150" s="20">
        <v>8851019210292</v>
      </c>
      <c r="F150" s="8" t="s">
        <v>275</v>
      </c>
      <c r="G150" s="9"/>
      <c r="H150" s="9"/>
      <c r="I150" s="9"/>
      <c r="J150" s="9"/>
      <c r="K150" s="9"/>
      <c r="M150" s="9"/>
    </row>
    <row r="151" spans="1:13">
      <c r="A151" s="11" t="s">
        <v>25</v>
      </c>
      <c r="B151" s="11" t="s">
        <v>7</v>
      </c>
      <c r="C151" s="51">
        <v>988100692</v>
      </c>
      <c r="D151" s="52" t="s">
        <v>185</v>
      </c>
      <c r="E151" s="53">
        <v>8990044000222</v>
      </c>
      <c r="F151" s="8" t="s">
        <v>275</v>
      </c>
      <c r="G151" s="9"/>
      <c r="H151" s="9"/>
      <c r="I151" s="9"/>
      <c r="J151" s="9"/>
      <c r="K151" s="9"/>
      <c r="M151" s="9"/>
    </row>
    <row r="152" spans="1:13">
      <c r="A152" s="11" t="s">
        <v>25</v>
      </c>
      <c r="B152" s="11" t="s">
        <v>7</v>
      </c>
      <c r="C152" s="51">
        <v>988100693</v>
      </c>
      <c r="D152" s="52" t="s">
        <v>186</v>
      </c>
      <c r="E152" s="53">
        <v>8990044000239</v>
      </c>
      <c r="F152" s="8" t="s">
        <v>275</v>
      </c>
      <c r="G152" s="9"/>
      <c r="H152" s="9"/>
      <c r="I152" s="9"/>
      <c r="J152" s="9"/>
      <c r="K152" s="9"/>
      <c r="M152" s="9"/>
    </row>
    <row r="153" spans="1:13">
      <c r="A153" s="11" t="s">
        <v>25</v>
      </c>
      <c r="B153" s="5" t="s">
        <v>7</v>
      </c>
      <c r="C153" s="54">
        <v>200371</v>
      </c>
      <c r="D153" s="41" t="s">
        <v>187</v>
      </c>
      <c r="E153" s="55">
        <v>8996001355756</v>
      </c>
      <c r="F153" s="8" t="s">
        <v>275</v>
      </c>
      <c r="G153" s="9"/>
      <c r="H153" s="9"/>
      <c r="I153" s="9"/>
      <c r="J153" s="9"/>
      <c r="K153" s="9"/>
      <c r="M153" s="9"/>
    </row>
    <row r="154" spans="1:13">
      <c r="A154" s="11" t="s">
        <v>25</v>
      </c>
      <c r="B154" s="5" t="s">
        <v>7</v>
      </c>
      <c r="C154" s="13">
        <v>988100486</v>
      </c>
      <c r="D154" s="7" t="s">
        <v>188</v>
      </c>
      <c r="E154" s="20">
        <v>8996001355046</v>
      </c>
      <c r="F154" s="8" t="s">
        <v>275</v>
      </c>
      <c r="G154" s="9"/>
      <c r="H154" s="9"/>
      <c r="I154" s="9"/>
      <c r="J154" s="9"/>
      <c r="K154" s="9"/>
      <c r="M154" s="9"/>
    </row>
    <row r="155" spans="1:13">
      <c r="A155" s="11" t="s">
        <v>25</v>
      </c>
      <c r="B155" s="5" t="s">
        <v>7</v>
      </c>
      <c r="C155" s="29">
        <v>988100452</v>
      </c>
      <c r="D155" s="56" t="s">
        <v>189</v>
      </c>
      <c r="E155" s="20">
        <v>8886001026056</v>
      </c>
      <c r="F155" s="8" t="s">
        <v>275</v>
      </c>
      <c r="G155" s="9"/>
      <c r="H155" s="9"/>
      <c r="I155" s="9"/>
      <c r="J155" s="9"/>
      <c r="K155" s="9"/>
      <c r="M155" s="9"/>
    </row>
    <row r="156" spans="1:13">
      <c r="A156" s="11" t="s">
        <v>25</v>
      </c>
      <c r="B156" s="5" t="s">
        <v>7</v>
      </c>
      <c r="C156" s="6">
        <v>988100669</v>
      </c>
      <c r="D156" s="41" t="s">
        <v>190</v>
      </c>
      <c r="E156" s="24">
        <v>8996001343135</v>
      </c>
      <c r="F156" s="8" t="s">
        <v>275</v>
      </c>
      <c r="G156" s="9"/>
      <c r="H156" s="9"/>
      <c r="I156" s="9"/>
      <c r="J156" s="9"/>
      <c r="K156" s="9"/>
      <c r="M156" s="9"/>
    </row>
    <row r="157" spans="1:13">
      <c r="A157" s="5" t="s">
        <v>25</v>
      </c>
      <c r="B157" s="5" t="s">
        <v>7</v>
      </c>
      <c r="C157" s="57">
        <v>200398</v>
      </c>
      <c r="D157" s="58" t="s">
        <v>191</v>
      </c>
      <c r="E157" s="59">
        <v>8996001370063</v>
      </c>
      <c r="F157" s="8" t="s">
        <v>275</v>
      </c>
      <c r="G157" s="9"/>
      <c r="H157" s="9"/>
      <c r="I157" s="9"/>
      <c r="J157" s="9"/>
      <c r="K157" s="9"/>
      <c r="M157" s="9"/>
    </row>
    <row r="158" spans="1:13">
      <c r="A158" s="11" t="s">
        <v>40</v>
      </c>
      <c r="B158" s="11" t="s">
        <v>41</v>
      </c>
      <c r="C158" s="6">
        <v>910049</v>
      </c>
      <c r="D158" s="19" t="s">
        <v>192</v>
      </c>
      <c r="E158" s="20">
        <v>6949070600243</v>
      </c>
      <c r="F158" s="8" t="s">
        <v>275</v>
      </c>
      <c r="G158" s="9"/>
      <c r="H158" s="9"/>
      <c r="I158" s="9"/>
      <c r="J158" s="9"/>
      <c r="K158" s="9"/>
      <c r="M158" s="9"/>
    </row>
    <row r="159" spans="1:13">
      <c r="A159" s="11" t="s">
        <v>40</v>
      </c>
      <c r="B159" s="11" t="s">
        <v>41</v>
      </c>
      <c r="C159" s="6">
        <v>910051</v>
      </c>
      <c r="D159" s="19" t="s">
        <v>193</v>
      </c>
      <c r="E159" s="20">
        <v>6949070600649</v>
      </c>
      <c r="F159" s="8" t="s">
        <v>275</v>
      </c>
      <c r="G159" s="9"/>
      <c r="H159" s="9"/>
      <c r="I159" s="9"/>
      <c r="J159" s="9"/>
      <c r="K159" s="9"/>
      <c r="M159" s="9"/>
    </row>
    <row r="160" spans="1:13">
      <c r="A160" s="11" t="s">
        <v>124</v>
      </c>
      <c r="B160" s="11" t="s">
        <v>7</v>
      </c>
      <c r="C160" s="6">
        <v>990114</v>
      </c>
      <c r="D160" s="7" t="s">
        <v>194</v>
      </c>
      <c r="E160" s="20">
        <v>8992931005099</v>
      </c>
      <c r="F160" s="8">
        <v>23</v>
      </c>
      <c r="G160" s="9"/>
      <c r="H160" s="9"/>
      <c r="I160" s="9"/>
      <c r="J160" s="9"/>
      <c r="K160" s="9"/>
      <c r="M160" s="9"/>
    </row>
    <row r="161" spans="1:13">
      <c r="A161" s="11" t="s">
        <v>25</v>
      </c>
      <c r="B161" s="5" t="s">
        <v>41</v>
      </c>
      <c r="C161" s="51">
        <v>988100694</v>
      </c>
      <c r="D161" s="52" t="s">
        <v>195</v>
      </c>
      <c r="E161" s="60" t="s">
        <v>196</v>
      </c>
      <c r="F161" s="8" t="s">
        <v>275</v>
      </c>
      <c r="G161" s="9"/>
      <c r="H161" s="9"/>
      <c r="I161" s="9"/>
      <c r="J161" s="9"/>
      <c r="K161" s="9"/>
      <c r="M161" s="9"/>
    </row>
    <row r="162" spans="1:13">
      <c r="A162" s="11" t="s">
        <v>25</v>
      </c>
      <c r="B162" s="5" t="s">
        <v>41</v>
      </c>
      <c r="C162" s="51">
        <v>988100695</v>
      </c>
      <c r="D162" s="52" t="s">
        <v>197</v>
      </c>
      <c r="E162" s="60" t="s">
        <v>198</v>
      </c>
      <c r="F162" s="8" t="s">
        <v>275</v>
      </c>
      <c r="G162" s="9"/>
      <c r="H162" s="9"/>
      <c r="I162" s="9"/>
      <c r="J162" s="9"/>
      <c r="K162" s="9"/>
      <c r="M162" s="9"/>
    </row>
    <row r="163" spans="1:13">
      <c r="A163" s="11" t="s">
        <v>25</v>
      </c>
      <c r="B163" s="5" t="s">
        <v>41</v>
      </c>
      <c r="C163" s="51">
        <v>988100696</v>
      </c>
      <c r="D163" s="52" t="s">
        <v>199</v>
      </c>
      <c r="E163" s="60" t="s">
        <v>200</v>
      </c>
      <c r="F163" s="8" t="s">
        <v>275</v>
      </c>
      <c r="G163" s="9"/>
      <c r="H163" s="9"/>
      <c r="I163" s="9"/>
      <c r="J163" s="9"/>
      <c r="K163" s="9"/>
      <c r="M163" s="9"/>
    </row>
    <row r="164" spans="1:13">
      <c r="A164" s="11" t="s">
        <v>25</v>
      </c>
      <c r="B164" s="5" t="s">
        <v>41</v>
      </c>
      <c r="C164" s="51">
        <v>988100697</v>
      </c>
      <c r="D164" s="52" t="s">
        <v>201</v>
      </c>
      <c r="E164" s="60" t="s">
        <v>202</v>
      </c>
      <c r="F164" s="8" t="s">
        <v>275</v>
      </c>
      <c r="G164" s="9"/>
      <c r="H164" s="9"/>
      <c r="I164" s="9"/>
      <c r="J164" s="9"/>
      <c r="K164" s="9"/>
      <c r="M164" s="9"/>
    </row>
    <row r="165" spans="1:13">
      <c r="A165" s="11" t="s">
        <v>25</v>
      </c>
      <c r="B165" s="5" t="s">
        <v>41</v>
      </c>
      <c r="C165" s="51">
        <v>988100698</v>
      </c>
      <c r="D165" s="52" t="s">
        <v>203</v>
      </c>
      <c r="E165" s="60" t="s">
        <v>204</v>
      </c>
      <c r="F165" s="8"/>
      <c r="G165" s="9"/>
      <c r="H165" s="9"/>
      <c r="I165" s="9"/>
      <c r="J165" s="9"/>
      <c r="K165" s="9"/>
      <c r="M165" s="9"/>
    </row>
    <row r="166" spans="1:13">
      <c r="A166" s="11" t="s">
        <v>25</v>
      </c>
      <c r="B166" s="5" t="s">
        <v>41</v>
      </c>
      <c r="C166" s="51">
        <v>988100699</v>
      </c>
      <c r="D166" s="52" t="s">
        <v>205</v>
      </c>
      <c r="E166" s="60" t="s">
        <v>206</v>
      </c>
      <c r="F166" s="8" t="s">
        <v>275</v>
      </c>
      <c r="G166" s="9"/>
      <c r="H166" s="9"/>
      <c r="I166" s="9"/>
      <c r="J166" s="9"/>
      <c r="K166" s="9"/>
      <c r="M166" s="9"/>
    </row>
    <row r="167" spans="1:13">
      <c r="A167" s="11" t="s">
        <v>25</v>
      </c>
      <c r="B167" s="5" t="s">
        <v>41</v>
      </c>
      <c r="C167" s="61">
        <v>988100700</v>
      </c>
      <c r="D167" s="62" t="s">
        <v>207</v>
      </c>
      <c r="E167" s="63" t="s">
        <v>208</v>
      </c>
      <c r="F167" s="8"/>
      <c r="G167" s="9"/>
      <c r="H167" s="9"/>
      <c r="I167" s="9"/>
      <c r="J167" s="9"/>
      <c r="K167" s="9"/>
      <c r="M167" s="9"/>
    </row>
    <row r="168" spans="1:13">
      <c r="A168" s="11" t="s">
        <v>25</v>
      </c>
      <c r="B168" s="5" t="s">
        <v>41</v>
      </c>
      <c r="C168" s="61">
        <v>988100701</v>
      </c>
      <c r="D168" s="41" t="s">
        <v>209</v>
      </c>
      <c r="E168" s="64" t="s">
        <v>210</v>
      </c>
      <c r="F168" s="8" t="s">
        <v>275</v>
      </c>
      <c r="G168" s="9"/>
      <c r="H168" s="9"/>
      <c r="I168" s="9"/>
      <c r="J168" s="9"/>
      <c r="K168" s="9"/>
      <c r="M168" s="9"/>
    </row>
    <row r="169" spans="1:13">
      <c r="A169" s="11" t="s">
        <v>6</v>
      </c>
      <c r="B169" s="5" t="s">
        <v>7</v>
      </c>
      <c r="C169" s="29">
        <v>988100630</v>
      </c>
      <c r="D169" s="56" t="s">
        <v>211</v>
      </c>
      <c r="E169" s="92">
        <v>8996001600849</v>
      </c>
      <c r="F169" s="8" t="s">
        <v>275</v>
      </c>
      <c r="G169" s="9"/>
      <c r="H169" s="9"/>
      <c r="I169" s="9"/>
      <c r="J169" s="9"/>
      <c r="K169" s="9"/>
      <c r="M169" s="9"/>
    </row>
    <row r="170" spans="1:13">
      <c r="A170" s="11" t="s">
        <v>6</v>
      </c>
      <c r="B170" s="11" t="s">
        <v>7</v>
      </c>
      <c r="C170" s="29">
        <v>988100489</v>
      </c>
      <c r="D170" s="65" t="s">
        <v>212</v>
      </c>
      <c r="E170" s="20">
        <v>8996001600665</v>
      </c>
      <c r="F170" s="8" t="s">
        <v>275</v>
      </c>
      <c r="G170" s="9"/>
      <c r="H170" s="9"/>
      <c r="I170" s="9"/>
      <c r="J170" s="9"/>
      <c r="K170" s="9"/>
      <c r="M170" s="9"/>
    </row>
    <row r="171" spans="1:13">
      <c r="A171" s="11" t="s">
        <v>6</v>
      </c>
      <c r="B171" s="11" t="s">
        <v>7</v>
      </c>
      <c r="C171" s="21">
        <v>988100673</v>
      </c>
      <c r="D171" s="17" t="s">
        <v>213</v>
      </c>
      <c r="E171" s="20">
        <v>8991749000005</v>
      </c>
      <c r="F171" s="8">
        <v>3</v>
      </c>
      <c r="G171" s="9"/>
      <c r="H171" s="9"/>
      <c r="I171" s="9"/>
      <c r="J171" s="9"/>
      <c r="K171" s="9"/>
      <c r="M171" s="9"/>
    </row>
    <row r="172" spans="1:13">
      <c r="A172" s="11" t="s">
        <v>6</v>
      </c>
      <c r="B172" s="11" t="s">
        <v>7</v>
      </c>
      <c r="C172" s="21">
        <v>988100674</v>
      </c>
      <c r="D172" s="17" t="s">
        <v>214</v>
      </c>
      <c r="E172" s="20">
        <v>8991749000043</v>
      </c>
      <c r="F172" s="8">
        <v>28</v>
      </c>
      <c r="G172" s="9"/>
      <c r="H172" s="9"/>
      <c r="I172" s="9"/>
      <c r="J172" s="9"/>
      <c r="K172" s="9"/>
      <c r="M172" s="9"/>
    </row>
    <row r="173" spans="1:13">
      <c r="A173" s="11" t="s">
        <v>6</v>
      </c>
      <c r="B173" s="11" t="s">
        <v>7</v>
      </c>
      <c r="C173" s="21">
        <v>988100675</v>
      </c>
      <c r="D173" s="17" t="s">
        <v>215</v>
      </c>
      <c r="E173" s="20">
        <v>8991749000012</v>
      </c>
      <c r="F173" s="8">
        <v>50</v>
      </c>
      <c r="G173" s="9"/>
      <c r="H173" s="9"/>
      <c r="I173" s="9"/>
      <c r="J173" s="9"/>
      <c r="K173" s="9"/>
      <c r="M173" s="9"/>
    </row>
    <row r="174" spans="1:13">
      <c r="A174" s="11" t="s">
        <v>6</v>
      </c>
      <c r="B174" s="11" t="s">
        <v>7</v>
      </c>
      <c r="C174" s="21">
        <v>988100676</v>
      </c>
      <c r="D174" s="17" t="s">
        <v>216</v>
      </c>
      <c r="E174" s="20">
        <v>8991749000036</v>
      </c>
      <c r="F174" s="8">
        <v>33</v>
      </c>
      <c r="G174" s="9"/>
      <c r="H174" s="9"/>
      <c r="I174" s="9"/>
      <c r="J174" s="9"/>
      <c r="K174" s="9"/>
      <c r="M174" s="9"/>
    </row>
    <row r="175" spans="1:13">
      <c r="A175" s="11" t="s">
        <v>6</v>
      </c>
      <c r="B175" s="11" t="s">
        <v>7</v>
      </c>
      <c r="C175" s="21">
        <v>988100681</v>
      </c>
      <c r="D175" s="41" t="s">
        <v>217</v>
      </c>
      <c r="E175" s="24">
        <v>8991749000029</v>
      </c>
      <c r="F175" s="8">
        <v>41</v>
      </c>
      <c r="G175" s="9"/>
      <c r="H175" s="9"/>
      <c r="I175" s="9"/>
      <c r="J175" s="9"/>
      <c r="K175" s="9"/>
      <c r="M175" s="9"/>
    </row>
    <row r="176" spans="1:13">
      <c r="A176" s="11" t="s">
        <v>40</v>
      </c>
      <c r="B176" s="11" t="s">
        <v>41</v>
      </c>
      <c r="C176" s="6">
        <v>990097</v>
      </c>
      <c r="D176" s="19" t="s">
        <v>218</v>
      </c>
      <c r="E176" s="20">
        <v>8997013460988</v>
      </c>
      <c r="F176" s="8" t="s">
        <v>275</v>
      </c>
      <c r="G176" s="9"/>
      <c r="H176" s="9"/>
      <c r="I176" s="9"/>
      <c r="J176" s="9"/>
      <c r="K176" s="9"/>
      <c r="M176" s="9"/>
    </row>
    <row r="177" spans="1:13">
      <c r="A177" s="11" t="s">
        <v>25</v>
      </c>
      <c r="B177" s="11" t="s">
        <v>7</v>
      </c>
      <c r="C177" s="66">
        <v>200346</v>
      </c>
      <c r="D177" s="17" t="s">
        <v>219</v>
      </c>
      <c r="E177" s="67" t="s">
        <v>220</v>
      </c>
      <c r="F177" s="8">
        <v>229</v>
      </c>
      <c r="G177" s="9"/>
      <c r="H177" s="9"/>
      <c r="I177" s="9"/>
      <c r="J177" s="9"/>
      <c r="K177" s="9"/>
      <c r="M177" s="9"/>
    </row>
    <row r="178" spans="1:13">
      <c r="A178" s="11" t="s">
        <v>40</v>
      </c>
      <c r="B178" s="11" t="s">
        <v>41</v>
      </c>
      <c r="C178" s="47">
        <v>988100682</v>
      </c>
      <c r="D178" s="68" t="s">
        <v>221</v>
      </c>
      <c r="E178" s="69" t="s">
        <v>222</v>
      </c>
      <c r="F178" s="8" t="s">
        <v>275</v>
      </c>
      <c r="G178" s="9"/>
      <c r="H178" s="9"/>
      <c r="I178" s="9"/>
      <c r="J178" s="9"/>
      <c r="K178" s="9"/>
      <c r="M178" s="9"/>
    </row>
    <row r="179" spans="1:13">
      <c r="A179" s="11" t="s">
        <v>40</v>
      </c>
      <c r="B179" s="11" t="s">
        <v>41</v>
      </c>
      <c r="C179" s="47">
        <v>988100683</v>
      </c>
      <c r="D179" s="68" t="s">
        <v>223</v>
      </c>
      <c r="E179" s="69" t="s">
        <v>224</v>
      </c>
      <c r="F179" s="8">
        <v>12</v>
      </c>
      <c r="G179" s="9"/>
      <c r="H179" s="9"/>
      <c r="I179" s="9"/>
      <c r="J179" s="9"/>
      <c r="K179" s="9"/>
      <c r="M179" s="9"/>
    </row>
    <row r="180" spans="1:13">
      <c r="A180" s="11" t="s">
        <v>40</v>
      </c>
      <c r="B180" s="11" t="s">
        <v>41</v>
      </c>
      <c r="C180" s="47">
        <v>988100684</v>
      </c>
      <c r="D180" s="17" t="s">
        <v>225</v>
      </c>
      <c r="E180" s="69" t="s">
        <v>226</v>
      </c>
      <c r="F180" s="8">
        <v>28</v>
      </c>
      <c r="G180" s="9"/>
      <c r="H180" s="9"/>
      <c r="I180" s="9"/>
      <c r="J180" s="9"/>
      <c r="K180" s="9"/>
      <c r="M180" s="9"/>
    </row>
    <row r="181" spans="1:13">
      <c r="A181" s="11" t="s">
        <v>40</v>
      </c>
      <c r="B181" s="11" t="s">
        <v>41</v>
      </c>
      <c r="C181" s="47">
        <v>988100685</v>
      </c>
      <c r="D181" s="17" t="s">
        <v>227</v>
      </c>
      <c r="E181" s="69" t="s">
        <v>228</v>
      </c>
      <c r="F181" s="8">
        <v>20</v>
      </c>
      <c r="G181" s="9"/>
      <c r="H181" s="9"/>
      <c r="I181" s="9"/>
      <c r="J181" s="9"/>
      <c r="K181" s="9"/>
      <c r="M181" s="9"/>
    </row>
    <row r="182" spans="1:13">
      <c r="A182" s="11" t="s">
        <v>40</v>
      </c>
      <c r="B182" s="11" t="s">
        <v>41</v>
      </c>
      <c r="C182" s="6">
        <v>910045</v>
      </c>
      <c r="D182" s="19" t="s">
        <v>229</v>
      </c>
      <c r="E182" s="20">
        <v>8997005540438</v>
      </c>
      <c r="F182" s="8">
        <v>13</v>
      </c>
      <c r="G182" s="9"/>
      <c r="H182" s="9"/>
      <c r="I182" s="9"/>
      <c r="J182" s="9"/>
      <c r="K182" s="9"/>
      <c r="M182" s="9"/>
    </row>
    <row r="183" spans="1:13">
      <c r="A183" s="11" t="s">
        <v>40</v>
      </c>
      <c r="B183" s="11" t="s">
        <v>41</v>
      </c>
      <c r="C183" s="6">
        <v>910046</v>
      </c>
      <c r="D183" s="19" t="s">
        <v>230</v>
      </c>
      <c r="E183" s="20">
        <v>8997005540445</v>
      </c>
      <c r="F183" s="8" t="s">
        <v>275</v>
      </c>
      <c r="G183" s="9"/>
      <c r="H183" s="9"/>
      <c r="I183" s="9"/>
      <c r="J183" s="9"/>
      <c r="K183" s="9"/>
      <c r="M183" s="9"/>
    </row>
    <row r="184" spans="1:13">
      <c r="A184" s="11" t="s">
        <v>40</v>
      </c>
      <c r="B184" s="11" t="s">
        <v>41</v>
      </c>
      <c r="C184" s="47">
        <v>988100704</v>
      </c>
      <c r="D184" s="41" t="s">
        <v>231</v>
      </c>
      <c r="E184" s="23">
        <v>8997005543057</v>
      </c>
      <c r="F184" s="8">
        <v>31</v>
      </c>
      <c r="G184" s="9"/>
      <c r="H184" s="9"/>
      <c r="I184" s="9"/>
      <c r="J184" s="9"/>
      <c r="K184" s="9"/>
      <c r="M184" s="9"/>
    </row>
    <row r="185" spans="1:13">
      <c r="A185" s="11" t="s">
        <v>6</v>
      </c>
      <c r="B185" s="11" t="s">
        <v>7</v>
      </c>
      <c r="C185" s="47">
        <v>100187</v>
      </c>
      <c r="D185" s="41" t="s">
        <v>232</v>
      </c>
      <c r="E185" s="23">
        <v>100187</v>
      </c>
      <c r="F185" s="8"/>
      <c r="G185" s="9"/>
      <c r="H185" s="9"/>
      <c r="I185" s="9"/>
      <c r="J185" s="9"/>
      <c r="K185" s="9"/>
      <c r="M185" s="9"/>
    </row>
    <row r="186" spans="1:13">
      <c r="A186" s="11" t="s">
        <v>25</v>
      </c>
      <c r="B186" s="11" t="s">
        <v>7</v>
      </c>
      <c r="C186" s="47">
        <v>988100707</v>
      </c>
      <c r="D186" s="41" t="s">
        <v>233</v>
      </c>
      <c r="E186" s="23">
        <v>8994755031193</v>
      </c>
      <c r="F186" s="8">
        <v>7</v>
      </c>
      <c r="G186" s="9"/>
      <c r="H186" s="9"/>
      <c r="I186" s="9"/>
      <c r="J186" s="9"/>
      <c r="K186" s="9"/>
      <c r="M186" s="9"/>
    </row>
    <row r="187" spans="1:13">
      <c r="A187" s="11" t="s">
        <v>89</v>
      </c>
      <c r="B187" s="11" t="s">
        <v>7</v>
      </c>
      <c r="C187" s="47">
        <v>988100706</v>
      </c>
      <c r="D187" s="41" t="s">
        <v>234</v>
      </c>
      <c r="E187" s="23">
        <v>8998866820721</v>
      </c>
      <c r="F187" s="8">
        <v>42</v>
      </c>
      <c r="G187" s="9"/>
      <c r="H187" s="9"/>
      <c r="I187" s="9"/>
      <c r="J187" s="9"/>
      <c r="K187" s="9"/>
      <c r="M187" s="9"/>
    </row>
    <row r="188" spans="1:13">
      <c r="A188" s="11" t="s">
        <v>25</v>
      </c>
      <c r="B188" s="11" t="s">
        <v>41</v>
      </c>
      <c r="C188" s="47">
        <v>988100708</v>
      </c>
      <c r="D188" s="41" t="s">
        <v>235</v>
      </c>
      <c r="E188" s="23">
        <v>3649993997444</v>
      </c>
      <c r="F188" s="8" t="s">
        <v>275</v>
      </c>
      <c r="G188" s="9"/>
      <c r="H188" s="9"/>
      <c r="I188" s="9"/>
      <c r="J188" s="9"/>
      <c r="K188" s="9"/>
      <c r="M188" s="9"/>
    </row>
    <row r="189" spans="1:13">
      <c r="A189" s="11" t="s">
        <v>40</v>
      </c>
      <c r="B189" s="11" t="s">
        <v>41</v>
      </c>
      <c r="C189" s="47">
        <v>988100709</v>
      </c>
      <c r="D189" s="41" t="s">
        <v>236</v>
      </c>
      <c r="E189" s="23" t="s">
        <v>237</v>
      </c>
      <c r="F189" s="8">
        <v>5</v>
      </c>
      <c r="G189" s="9"/>
      <c r="H189" s="9"/>
      <c r="I189" s="9"/>
      <c r="J189" s="9"/>
      <c r="K189" s="9"/>
      <c r="M189" s="9"/>
    </row>
    <row r="190" spans="1:13">
      <c r="A190" s="11" t="s">
        <v>25</v>
      </c>
      <c r="B190" s="11" t="s">
        <v>41</v>
      </c>
      <c r="C190" s="47">
        <v>988100710</v>
      </c>
      <c r="D190" s="41" t="s">
        <v>238</v>
      </c>
      <c r="E190" s="23" t="s">
        <v>239</v>
      </c>
      <c r="F190" s="8" t="s">
        <v>275</v>
      </c>
      <c r="G190" s="9"/>
      <c r="H190" s="9"/>
      <c r="I190" s="9"/>
      <c r="J190" s="9"/>
      <c r="K190" s="9"/>
      <c r="M190" s="9"/>
    </row>
    <row r="191" spans="1:13">
      <c r="A191" s="11" t="s">
        <v>25</v>
      </c>
      <c r="B191" s="11" t="s">
        <v>41</v>
      </c>
      <c r="C191" s="47">
        <v>988100711</v>
      </c>
      <c r="D191" s="41" t="s">
        <v>240</v>
      </c>
      <c r="E191" s="23" t="s">
        <v>241</v>
      </c>
      <c r="F191" s="8" t="s">
        <v>275</v>
      </c>
      <c r="G191" s="9"/>
      <c r="H191" s="9"/>
      <c r="I191" s="9"/>
      <c r="J191" s="9"/>
      <c r="K191" s="9"/>
      <c r="M191" s="9"/>
    </row>
    <row r="192" spans="1:13">
      <c r="A192" s="11" t="s">
        <v>25</v>
      </c>
      <c r="B192" s="11" t="s">
        <v>41</v>
      </c>
      <c r="C192" s="47">
        <v>988100713</v>
      </c>
      <c r="D192" s="41" t="s">
        <v>242</v>
      </c>
      <c r="E192" s="23" t="s">
        <v>243</v>
      </c>
      <c r="F192" s="8" t="s">
        <v>275</v>
      </c>
      <c r="G192" s="9"/>
      <c r="H192" s="9"/>
      <c r="I192" s="9"/>
      <c r="J192" s="9"/>
      <c r="K192" s="9"/>
      <c r="M192" s="9"/>
    </row>
    <row r="193" spans="1:13">
      <c r="A193" s="11" t="s">
        <v>25</v>
      </c>
      <c r="B193" s="11" t="s">
        <v>7</v>
      </c>
      <c r="C193" s="47">
        <v>988100716</v>
      </c>
      <c r="D193" s="41" t="s">
        <v>244</v>
      </c>
      <c r="E193" s="23">
        <v>9555030107614</v>
      </c>
      <c r="F193" s="8" t="s">
        <v>275</v>
      </c>
      <c r="G193" s="9"/>
      <c r="H193" s="9"/>
      <c r="I193" s="9"/>
      <c r="J193" s="9"/>
      <c r="K193" s="9"/>
      <c r="M193" s="9"/>
    </row>
    <row r="194" spans="1:13">
      <c r="A194" s="11" t="s">
        <v>25</v>
      </c>
      <c r="B194" s="11" t="s">
        <v>41</v>
      </c>
      <c r="C194" s="47">
        <v>988100727</v>
      </c>
      <c r="D194" s="41" t="s">
        <v>245</v>
      </c>
      <c r="E194" s="23" t="s">
        <v>246</v>
      </c>
      <c r="F194" s="8">
        <v>1</v>
      </c>
      <c r="G194" s="9"/>
      <c r="H194" s="9"/>
      <c r="I194" s="9"/>
      <c r="J194" s="9"/>
      <c r="K194" s="9"/>
      <c r="M194" s="9"/>
    </row>
    <row r="195" spans="1:13">
      <c r="A195" s="11" t="s">
        <v>25</v>
      </c>
      <c r="B195" s="11" t="s">
        <v>7</v>
      </c>
      <c r="C195" s="47">
        <v>200033</v>
      </c>
      <c r="D195" s="41" t="s">
        <v>247</v>
      </c>
      <c r="E195" s="23">
        <v>8992802063173</v>
      </c>
      <c r="F195" s="8" t="s">
        <v>275</v>
      </c>
      <c r="G195" s="9"/>
      <c r="H195" s="9"/>
      <c r="I195" s="9"/>
      <c r="J195" s="9"/>
      <c r="K195" s="9"/>
      <c r="M195" s="9"/>
    </row>
    <row r="196" spans="1:13">
      <c r="A196" s="11" t="s">
        <v>25</v>
      </c>
      <c r="B196" s="11" t="s">
        <v>41</v>
      </c>
      <c r="C196" s="13">
        <v>988100737</v>
      </c>
      <c r="D196" s="70" t="s">
        <v>248</v>
      </c>
      <c r="E196" s="71" t="s">
        <v>249</v>
      </c>
      <c r="F196" s="8" t="s">
        <v>275</v>
      </c>
      <c r="G196" s="9"/>
      <c r="H196" s="9"/>
      <c r="I196" s="9"/>
      <c r="J196" s="9"/>
      <c r="K196" s="9"/>
      <c r="M196" s="9"/>
    </row>
    <row r="197" spans="1:13">
      <c r="A197" s="5" t="s">
        <v>25</v>
      </c>
      <c r="B197" s="5" t="s">
        <v>7</v>
      </c>
      <c r="C197" s="37">
        <v>988100712</v>
      </c>
      <c r="D197" s="41" t="s">
        <v>250</v>
      </c>
      <c r="E197" s="38">
        <v>8992802063357</v>
      </c>
      <c r="F197" s="8">
        <v>43</v>
      </c>
      <c r="G197" s="9"/>
      <c r="H197" s="9"/>
      <c r="I197" s="9"/>
      <c r="J197" s="9"/>
      <c r="K197" s="9"/>
      <c r="M197" s="9"/>
    </row>
    <row r="198" spans="1:13">
      <c r="A198" s="5" t="s">
        <v>6</v>
      </c>
      <c r="B198" s="5" t="s">
        <v>7</v>
      </c>
      <c r="C198" s="37">
        <v>988100738</v>
      </c>
      <c r="D198" s="41" t="s">
        <v>251</v>
      </c>
      <c r="E198" s="38">
        <v>8991749000135</v>
      </c>
      <c r="F198" s="8" t="s">
        <v>275</v>
      </c>
      <c r="G198" s="9"/>
      <c r="H198" s="9"/>
      <c r="I198" s="9"/>
      <c r="J198" s="9"/>
      <c r="K198" s="9"/>
      <c r="M198" s="9"/>
    </row>
    <row r="199" spans="1:13">
      <c r="A199" s="5" t="s">
        <v>25</v>
      </c>
      <c r="B199" s="5" t="s">
        <v>7</v>
      </c>
      <c r="C199" s="37">
        <v>200034</v>
      </c>
      <c r="D199" s="41" t="s">
        <v>252</v>
      </c>
      <c r="E199" s="38">
        <v>8992802063012</v>
      </c>
      <c r="F199" s="8">
        <v>51</v>
      </c>
      <c r="G199" s="9"/>
      <c r="H199" s="9"/>
      <c r="I199" s="9"/>
      <c r="J199" s="9"/>
      <c r="K199" s="9"/>
      <c r="M199" s="9"/>
    </row>
    <row r="200" spans="1:13">
      <c r="A200" s="5" t="s">
        <v>6</v>
      </c>
      <c r="B200" s="5" t="s">
        <v>7</v>
      </c>
      <c r="C200" s="37">
        <v>100215</v>
      </c>
      <c r="D200" s="41" t="s">
        <v>253</v>
      </c>
      <c r="E200" s="38">
        <v>8995227500261</v>
      </c>
      <c r="F200" s="8">
        <v>43</v>
      </c>
      <c r="G200" s="9"/>
      <c r="H200" s="9"/>
      <c r="I200" s="9"/>
      <c r="J200" s="9"/>
      <c r="K200" s="9"/>
      <c r="M200" s="9"/>
    </row>
    <row r="201" spans="1:13">
      <c r="A201" s="5" t="s">
        <v>6</v>
      </c>
      <c r="B201" s="5" t="s">
        <v>7</v>
      </c>
      <c r="C201" s="37">
        <v>100216</v>
      </c>
      <c r="D201" s="41" t="s">
        <v>254</v>
      </c>
      <c r="E201" s="38">
        <v>8995227500278</v>
      </c>
      <c r="F201" s="8">
        <v>110</v>
      </c>
      <c r="G201" s="9"/>
      <c r="H201" s="9"/>
      <c r="I201" s="9"/>
      <c r="J201" s="9"/>
      <c r="K201" s="9"/>
      <c r="M201" s="9"/>
    </row>
    <row r="202" spans="1:13">
      <c r="A202" s="5" t="s">
        <v>6</v>
      </c>
      <c r="B202" s="5" t="s">
        <v>7</v>
      </c>
      <c r="C202" s="37">
        <v>100223</v>
      </c>
      <c r="D202" s="41" t="s">
        <v>255</v>
      </c>
      <c r="E202" s="38">
        <v>8995227500308</v>
      </c>
      <c r="F202" s="8">
        <v>108</v>
      </c>
      <c r="G202" s="9"/>
      <c r="H202" s="9"/>
      <c r="I202" s="9"/>
      <c r="J202" s="9"/>
      <c r="K202" s="9"/>
      <c r="M202" s="9"/>
    </row>
    <row r="203" spans="1:13">
      <c r="A203" s="5" t="s">
        <v>6</v>
      </c>
      <c r="B203" s="5" t="s">
        <v>7</v>
      </c>
      <c r="C203" s="37">
        <v>100142</v>
      </c>
      <c r="D203" s="41" t="s">
        <v>256</v>
      </c>
      <c r="E203" s="38">
        <v>8995227500582</v>
      </c>
      <c r="F203" s="8">
        <v>55</v>
      </c>
      <c r="G203" s="9"/>
      <c r="H203" s="9"/>
      <c r="I203" s="9"/>
      <c r="J203" s="9"/>
      <c r="K203" s="9"/>
      <c r="M203" s="9"/>
    </row>
    <row r="204" spans="1:13">
      <c r="A204" s="5" t="s">
        <v>40</v>
      </c>
      <c r="B204" s="5" t="s">
        <v>41</v>
      </c>
      <c r="C204" s="37">
        <v>910055</v>
      </c>
      <c r="D204" s="41" t="s">
        <v>257</v>
      </c>
      <c r="E204" s="38">
        <v>6949070603015</v>
      </c>
      <c r="F204" s="8">
        <v>11</v>
      </c>
      <c r="G204" s="9"/>
      <c r="H204" s="9"/>
      <c r="I204" s="9"/>
      <c r="J204" s="9"/>
      <c r="K204" s="9"/>
      <c r="M204" s="9"/>
    </row>
    <row r="205" spans="1:13">
      <c r="A205" s="5" t="s">
        <v>40</v>
      </c>
      <c r="B205" s="5" t="s">
        <v>41</v>
      </c>
      <c r="C205" s="37">
        <v>910052</v>
      </c>
      <c r="D205" s="41" t="s">
        <v>258</v>
      </c>
      <c r="E205" s="38">
        <v>6949070600533</v>
      </c>
      <c r="F205" s="8">
        <v>4</v>
      </c>
      <c r="G205" s="9"/>
      <c r="H205" s="9"/>
      <c r="I205" s="9"/>
      <c r="J205" s="9"/>
      <c r="K205" s="9"/>
      <c r="M205" s="9"/>
    </row>
    <row r="206" spans="1:13">
      <c r="A206" s="5" t="s">
        <v>40</v>
      </c>
      <c r="B206" s="5" t="s">
        <v>41</v>
      </c>
      <c r="C206" s="37">
        <v>910053</v>
      </c>
      <c r="D206" s="41" t="s">
        <v>259</v>
      </c>
      <c r="E206" s="38">
        <v>6949070600502</v>
      </c>
      <c r="F206" s="8">
        <v>1</v>
      </c>
      <c r="G206" s="9"/>
      <c r="H206" s="9"/>
      <c r="I206" s="9"/>
      <c r="J206" s="9"/>
      <c r="K206" s="9"/>
      <c r="M206" s="9"/>
    </row>
    <row r="207" spans="1:13">
      <c r="A207" s="5" t="s">
        <v>40</v>
      </c>
      <c r="B207" s="5" t="s">
        <v>41</v>
      </c>
      <c r="C207" s="37">
        <v>910063</v>
      </c>
      <c r="D207" s="41" t="s">
        <v>260</v>
      </c>
      <c r="E207" s="38">
        <v>8997208170272</v>
      </c>
      <c r="F207" s="8" t="s">
        <v>275</v>
      </c>
      <c r="G207" s="9"/>
      <c r="H207" s="9"/>
      <c r="I207" s="9"/>
      <c r="J207" s="9"/>
      <c r="K207" s="9"/>
      <c r="M207" s="9"/>
    </row>
    <row r="208" spans="1:13">
      <c r="A208" s="5" t="s">
        <v>40</v>
      </c>
      <c r="B208" s="5" t="s">
        <v>41</v>
      </c>
      <c r="C208" s="37">
        <v>910064</v>
      </c>
      <c r="D208" s="41" t="s">
        <v>261</v>
      </c>
      <c r="E208" s="38">
        <v>8997208170289</v>
      </c>
      <c r="F208" s="8" t="s">
        <v>275</v>
      </c>
      <c r="G208" s="9"/>
      <c r="H208" s="9"/>
      <c r="I208" s="9"/>
      <c r="J208" s="9"/>
      <c r="K208" s="9"/>
      <c r="M208" s="9"/>
    </row>
    <row r="209" spans="1:13">
      <c r="A209" s="5" t="s">
        <v>40</v>
      </c>
      <c r="B209" s="5" t="s">
        <v>41</v>
      </c>
      <c r="C209" s="37">
        <v>988100739</v>
      </c>
      <c r="D209" s="41" t="s">
        <v>262</v>
      </c>
      <c r="E209" s="38">
        <v>985225070116</v>
      </c>
      <c r="F209" s="8" t="s">
        <v>275</v>
      </c>
      <c r="G209" s="9"/>
      <c r="H209" s="9"/>
      <c r="I209" s="9"/>
      <c r="J209" s="9"/>
      <c r="K209" s="9"/>
      <c r="M209" s="9"/>
    </row>
    <row r="210" spans="1:13">
      <c r="A210" s="5" t="s">
        <v>40</v>
      </c>
      <c r="B210" s="5" t="s">
        <v>41</v>
      </c>
      <c r="C210" s="37">
        <v>988100746</v>
      </c>
      <c r="D210" s="41" t="s">
        <v>263</v>
      </c>
      <c r="E210" s="38">
        <v>8997005543149</v>
      </c>
      <c r="F210" s="8" t="s">
        <v>275</v>
      </c>
      <c r="G210" s="9"/>
      <c r="H210" s="9"/>
      <c r="I210" s="9"/>
      <c r="J210" s="9"/>
      <c r="K210" s="9"/>
      <c r="M210" s="9"/>
    </row>
    <row r="211" spans="1:13">
      <c r="A211" s="5" t="s">
        <v>6</v>
      </c>
      <c r="B211" s="5" t="s">
        <v>7</v>
      </c>
      <c r="C211" s="37">
        <v>100214</v>
      </c>
      <c r="D211" s="41" t="s">
        <v>264</v>
      </c>
      <c r="E211" s="38">
        <v>8995227500254</v>
      </c>
      <c r="F211" s="8">
        <v>46</v>
      </c>
      <c r="G211" s="9"/>
      <c r="H211" s="9"/>
      <c r="I211" s="9"/>
      <c r="J211" s="9"/>
      <c r="K211" s="9"/>
      <c r="M211" s="9"/>
    </row>
    <row r="212" spans="1:13">
      <c r="A212" s="5" t="s">
        <v>25</v>
      </c>
      <c r="B212" s="5" t="s">
        <v>7</v>
      </c>
      <c r="C212" s="37">
        <v>200031</v>
      </c>
      <c r="D212" s="41" t="s">
        <v>265</v>
      </c>
      <c r="E212" s="38">
        <v>8886001038011</v>
      </c>
      <c r="F212" s="8" t="s">
        <v>275</v>
      </c>
      <c r="G212" s="9"/>
      <c r="H212" s="9"/>
      <c r="I212" s="9"/>
      <c r="J212" s="9"/>
      <c r="K212" s="9"/>
      <c r="M212" s="9"/>
    </row>
    <row r="213" spans="1:13">
      <c r="A213" s="5" t="s">
        <v>25</v>
      </c>
      <c r="B213" s="5" t="s">
        <v>7</v>
      </c>
      <c r="C213" s="37">
        <v>988100046</v>
      </c>
      <c r="D213" s="41" t="s">
        <v>266</v>
      </c>
      <c r="E213" s="38">
        <v>8993039242522</v>
      </c>
      <c r="F213" s="8">
        <v>9</v>
      </c>
      <c r="G213" s="9"/>
      <c r="H213" s="9"/>
      <c r="I213" s="9"/>
      <c r="J213" s="9"/>
      <c r="K213" s="9"/>
      <c r="M213" s="9"/>
    </row>
    <row r="214" spans="1:13">
      <c r="A214" s="5" t="s">
        <v>25</v>
      </c>
      <c r="B214" s="5" t="s">
        <v>7</v>
      </c>
      <c r="C214" s="37">
        <v>988100048</v>
      </c>
      <c r="D214" s="41" t="s">
        <v>267</v>
      </c>
      <c r="E214" s="38">
        <v>8995077604515</v>
      </c>
      <c r="F214" s="8">
        <v>10</v>
      </c>
      <c r="G214" s="9"/>
      <c r="H214" s="9"/>
      <c r="I214" s="9"/>
      <c r="J214" s="9"/>
      <c r="K214" s="9"/>
      <c r="M214" s="9"/>
    </row>
    <row r="215" spans="1:13">
      <c r="A215" s="5" t="s">
        <v>25</v>
      </c>
      <c r="B215" s="5" t="s">
        <v>7</v>
      </c>
      <c r="C215" s="37">
        <v>200431</v>
      </c>
      <c r="D215" s="41" t="s">
        <v>268</v>
      </c>
      <c r="E215" s="38">
        <v>8886013300601</v>
      </c>
      <c r="F215" s="8" t="s">
        <v>275</v>
      </c>
      <c r="G215" s="9"/>
      <c r="H215" s="9"/>
      <c r="I215" s="9"/>
      <c r="J215" s="9"/>
      <c r="K215" s="9"/>
      <c r="M215" s="9"/>
    </row>
    <row r="216" spans="1:13">
      <c r="A216" s="5" t="s">
        <v>25</v>
      </c>
      <c r="B216" s="5" t="s">
        <v>7</v>
      </c>
      <c r="C216" s="37">
        <v>988100722</v>
      </c>
      <c r="D216" s="41" t="s">
        <v>269</v>
      </c>
      <c r="E216" s="38">
        <v>622210515278</v>
      </c>
      <c r="F216" s="8" t="s">
        <v>275</v>
      </c>
      <c r="G216" s="9"/>
      <c r="H216" s="9"/>
      <c r="I216" s="9"/>
      <c r="J216" s="9"/>
      <c r="K216" s="9"/>
      <c r="M216" s="9"/>
    </row>
    <row r="217" spans="1:13">
      <c r="A217" s="5" t="s">
        <v>25</v>
      </c>
      <c r="B217" s="5" t="s">
        <v>7</v>
      </c>
      <c r="C217" s="37">
        <v>200347</v>
      </c>
      <c r="D217" s="41" t="s">
        <v>270</v>
      </c>
      <c r="E217" s="38"/>
      <c r="F217" s="8">
        <v>3</v>
      </c>
      <c r="G217" s="9"/>
      <c r="H217" s="9"/>
      <c r="I217" s="9"/>
      <c r="J217" s="9"/>
      <c r="K217" s="9"/>
      <c r="M217" s="9"/>
    </row>
    <row r="218" spans="1:13">
      <c r="A218" s="5" t="s">
        <v>6</v>
      </c>
      <c r="B218" s="5" t="s">
        <v>7</v>
      </c>
      <c r="C218" s="37">
        <v>100053</v>
      </c>
      <c r="D218" s="41" t="s">
        <v>271</v>
      </c>
      <c r="E218" s="38"/>
      <c r="F218" s="8" t="s">
        <v>275</v>
      </c>
      <c r="G218" s="9"/>
      <c r="H218" s="9"/>
      <c r="I218" s="9"/>
      <c r="J218" s="9"/>
      <c r="K218" s="9"/>
      <c r="M218" s="9"/>
    </row>
    <row r="219" spans="1:13">
      <c r="A219" s="5" t="s">
        <v>25</v>
      </c>
      <c r="B219" s="5" t="s">
        <v>7</v>
      </c>
      <c r="C219" s="37" t="s">
        <v>272</v>
      </c>
      <c r="D219" s="41" t="s">
        <v>273</v>
      </c>
      <c r="E219" s="38"/>
      <c r="F219" s="8" t="s">
        <v>275</v>
      </c>
      <c r="G219" s="9"/>
      <c r="H219" s="9"/>
      <c r="I219" s="9"/>
      <c r="J219" s="9"/>
      <c r="K219" s="9"/>
      <c r="M219" s="9"/>
    </row>
    <row r="220" spans="1:13">
      <c r="A220" s="5" t="s">
        <v>25</v>
      </c>
      <c r="B220" s="5" t="s">
        <v>7</v>
      </c>
      <c r="C220" s="37"/>
      <c r="D220" s="41" t="s">
        <v>276</v>
      </c>
      <c r="E220" s="38">
        <v>8998685053300</v>
      </c>
      <c r="F220" s="8">
        <v>5</v>
      </c>
      <c r="G220" s="9"/>
      <c r="H220" s="9"/>
      <c r="I220" s="9"/>
      <c r="J220" s="9"/>
      <c r="K220" s="9"/>
      <c r="M220" s="9"/>
    </row>
    <row r="221" spans="1:13">
      <c r="A221" s="5" t="s">
        <v>25</v>
      </c>
      <c r="B221" s="5" t="s">
        <v>7</v>
      </c>
      <c r="C221" s="37" t="s">
        <v>307</v>
      </c>
      <c r="D221" s="41" t="s">
        <v>294</v>
      </c>
      <c r="E221" s="86" t="s">
        <v>295</v>
      </c>
      <c r="F221" s="8">
        <v>18</v>
      </c>
      <c r="G221" s="9"/>
      <c r="H221" s="9"/>
      <c r="I221" s="9"/>
      <c r="J221" s="9"/>
      <c r="K221" s="9"/>
      <c r="M221" s="9"/>
    </row>
    <row r="222" spans="1:13">
      <c r="A222" s="5" t="s">
        <v>25</v>
      </c>
      <c r="B222" s="5" t="s">
        <v>7</v>
      </c>
      <c r="C222" s="37">
        <v>98807150007</v>
      </c>
      <c r="D222" s="41" t="s">
        <v>296</v>
      </c>
      <c r="E222" s="86" t="s">
        <v>297</v>
      </c>
      <c r="F222" s="8">
        <v>28</v>
      </c>
      <c r="G222" s="9"/>
      <c r="H222" s="9"/>
      <c r="I222" s="9"/>
      <c r="J222" s="9"/>
      <c r="K222" s="9"/>
      <c r="M222" s="9"/>
    </row>
    <row r="223" spans="1:13">
      <c r="A223" s="5"/>
      <c r="B223" s="5"/>
      <c r="C223" s="37"/>
      <c r="D223" s="41"/>
      <c r="E223" s="38"/>
      <c r="F223" s="8"/>
      <c r="G223" s="9"/>
      <c r="H223" s="9"/>
      <c r="I223" s="9"/>
      <c r="J223" s="9"/>
      <c r="K223" s="9"/>
      <c r="M223" s="9"/>
    </row>
    <row r="224" spans="1:13">
      <c r="A224" s="5"/>
      <c r="B224" s="5"/>
      <c r="C224" s="37"/>
      <c r="D224" s="41"/>
      <c r="E224" s="38"/>
      <c r="F224" s="8"/>
      <c r="G224" s="9"/>
      <c r="H224" s="9"/>
      <c r="I224" s="9"/>
      <c r="J224" s="9"/>
      <c r="K224" s="9"/>
      <c r="M224" s="9"/>
    </row>
    <row r="225" spans="1:13">
      <c r="A225" s="5"/>
      <c r="B225" s="5"/>
      <c r="C225" s="37"/>
      <c r="D225" s="41"/>
      <c r="E225" s="38"/>
      <c r="F225" s="8"/>
      <c r="G225" s="9"/>
      <c r="H225" s="9"/>
      <c r="I225" s="9"/>
      <c r="J225" s="9"/>
      <c r="K225" s="9"/>
      <c r="M225" s="9"/>
    </row>
    <row r="226" spans="1:13">
      <c r="A226" s="5"/>
      <c r="B226" s="5"/>
      <c r="C226" s="37"/>
      <c r="D226" s="41"/>
      <c r="E226" s="38"/>
      <c r="F226" s="8"/>
      <c r="G226" s="9"/>
      <c r="H226" s="9"/>
      <c r="I226" s="9"/>
      <c r="J226" s="9"/>
      <c r="K226" s="9"/>
      <c r="M226" s="9"/>
    </row>
    <row r="227" spans="1:13">
      <c r="A227" s="72" t="s">
        <v>274</v>
      </c>
      <c r="B227" s="72"/>
      <c r="C227" s="56"/>
      <c r="D227" s="73"/>
      <c r="E227" s="74"/>
      <c r="F227" s="75">
        <f>SUBTOTAL(109,Table1[STOK AKHIR])</f>
        <v>5153</v>
      </c>
      <c r="G227" s="9"/>
      <c r="H227" s="9"/>
      <c r="I227" s="9"/>
      <c r="J227" s="9"/>
      <c r="K227" s="9"/>
      <c r="M227" s="9"/>
    </row>
    <row r="228" spans="1:13">
      <c r="M228" s="10">
        <f>[1]Pembelian!G104</f>
        <v>27313045.649799999</v>
      </c>
    </row>
    <row r="229" spans="1:13">
      <c r="M229" s="10" t="e">
        <f>#REF!-M228</f>
        <v>#REF!</v>
      </c>
    </row>
    <row r="230" spans="1:13">
      <c r="C230" s="79" t="s">
        <v>277</v>
      </c>
      <c r="D230" s="79"/>
    </row>
    <row r="231" spans="1:13">
      <c r="C231" s="79" t="s">
        <v>278</v>
      </c>
      <c r="D231" s="79">
        <v>45</v>
      </c>
    </row>
    <row r="232" spans="1:13">
      <c r="C232" s="79" t="s">
        <v>279</v>
      </c>
      <c r="D232" s="79">
        <v>61</v>
      </c>
    </row>
    <row r="233" spans="1:13">
      <c r="C233" s="79" t="s">
        <v>280</v>
      </c>
      <c r="D233" s="79">
        <v>38</v>
      </c>
    </row>
    <row r="234" spans="1:13">
      <c r="C234" s="79" t="s">
        <v>281</v>
      </c>
      <c r="D234" s="79">
        <v>18</v>
      </c>
    </row>
    <row r="235" spans="1:13">
      <c r="C235" s="79" t="s">
        <v>282</v>
      </c>
      <c r="D235" s="79">
        <v>8</v>
      </c>
    </row>
    <row r="236" spans="1:13">
      <c r="C236" s="79" t="s">
        <v>283</v>
      </c>
      <c r="D236" s="79">
        <v>30</v>
      </c>
    </row>
    <row r="237" spans="1:13">
      <c r="C237" s="9" t="s">
        <v>288</v>
      </c>
      <c r="D237" s="9">
        <v>7</v>
      </c>
    </row>
    <row r="238" spans="1:13">
      <c r="C238" s="79" t="s">
        <v>289</v>
      </c>
      <c r="D238" s="79">
        <v>25</v>
      </c>
    </row>
    <row r="239" spans="1:13">
      <c r="C239" s="79" t="s">
        <v>290</v>
      </c>
      <c r="D239" s="79">
        <v>4</v>
      </c>
      <c r="E239" s="95"/>
      <c r="F239" s="77"/>
      <c r="J239" s="9"/>
      <c r="K239" s="10"/>
      <c r="M239" s="9"/>
    </row>
    <row r="240" spans="1:13">
      <c r="C240" s="79" t="s">
        <v>291</v>
      </c>
      <c r="D240" s="79">
        <v>1</v>
      </c>
      <c r="E240" s="95"/>
      <c r="F240" s="77"/>
      <c r="J240" s="9"/>
      <c r="K240" s="10"/>
      <c r="M240" s="9"/>
    </row>
    <row r="241" spans="3:13">
      <c r="C241" s="89" t="s">
        <v>292</v>
      </c>
      <c r="D241" s="79">
        <v>7</v>
      </c>
      <c r="E241" s="95"/>
      <c r="F241" s="77"/>
      <c r="J241" s="9"/>
      <c r="K241" s="10"/>
      <c r="M241" s="9"/>
    </row>
    <row r="242" spans="3:13">
      <c r="C242" s="89" t="s">
        <v>303</v>
      </c>
      <c r="D242" s="79">
        <v>2</v>
      </c>
      <c r="E242" s="95"/>
      <c r="F242" s="77"/>
      <c r="H242" s="9"/>
      <c r="I242" s="10"/>
      <c r="J242" s="9"/>
      <c r="K242" s="9"/>
      <c r="M242" s="9"/>
    </row>
    <row r="243" spans="3:13">
      <c r="C243" s="89" t="s">
        <v>305</v>
      </c>
      <c r="D243" s="79">
        <v>1</v>
      </c>
      <c r="E243" s="95" t="s">
        <v>306</v>
      </c>
      <c r="F243" s="77"/>
      <c r="H243" s="9"/>
      <c r="I243" s="10"/>
      <c r="J243" s="9"/>
      <c r="K243" s="9"/>
      <c r="M243" s="9"/>
    </row>
    <row r="244" spans="3:13">
      <c r="C244" s="77"/>
      <c r="D244" s="77"/>
      <c r="E244" s="95"/>
      <c r="F244" s="77"/>
      <c r="H244" s="9"/>
      <c r="I244" s="10"/>
      <c r="J244" s="9"/>
      <c r="K244" s="9"/>
      <c r="M244" s="9"/>
    </row>
    <row r="245" spans="3:13">
      <c r="E245" s="95"/>
      <c r="F245" s="77"/>
      <c r="J245" s="9"/>
      <c r="K245" s="10"/>
      <c r="M245" s="9"/>
    </row>
    <row r="246" spans="3:13" ht="13" thickBot="1"/>
    <row r="247" spans="3:13">
      <c r="C247" s="80" t="s">
        <v>293</v>
      </c>
      <c r="D247" s="85"/>
    </row>
    <row r="248" spans="3:13">
      <c r="C248" s="83" t="s">
        <v>284</v>
      </c>
      <c r="D248" s="81">
        <v>20</v>
      </c>
    </row>
    <row r="249" spans="3:13">
      <c r="C249" s="83" t="s">
        <v>302</v>
      </c>
      <c r="D249" s="81">
        <v>4</v>
      </c>
    </row>
    <row r="250" spans="3:13">
      <c r="C250" s="83" t="s">
        <v>285</v>
      </c>
      <c r="D250" s="81">
        <v>20</v>
      </c>
    </row>
    <row r="251" spans="3:13">
      <c r="C251" s="83" t="s">
        <v>286</v>
      </c>
      <c r="D251" s="81">
        <v>20</v>
      </c>
    </row>
    <row r="252" spans="3:13">
      <c r="C252" s="87" t="s">
        <v>291</v>
      </c>
      <c r="D252" s="88">
        <v>56</v>
      </c>
    </row>
    <row r="253" spans="3:13" ht="13" thickBot="1">
      <c r="C253" s="84" t="s">
        <v>287</v>
      </c>
      <c r="D253" s="82">
        <v>10</v>
      </c>
    </row>
  </sheetData>
  <pageMargins left="0.7" right="0.7" top="0.75" bottom="0.75" header="0.3" footer="0.3"/>
  <pageSetup paperSize="2833" orientation="portrait" horizontalDpi="180" verticalDpi="18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Sunter1</vt:lpstr>
      <vt:lpstr>Sunter3</vt:lpstr>
      <vt:lpstr>Sunter4</vt:lpstr>
      <vt:lpstr>T Duren</vt:lpstr>
      <vt:lpstr>Raden Saleh </vt:lpstr>
      <vt:lpstr>Lebak Bulus</vt:lpstr>
      <vt:lpstr>Alsut</vt:lpstr>
      <vt:lpstr>BSD</vt:lpstr>
      <vt:lpstr>GM</vt:lpstr>
      <vt:lpstr>Cikupa</vt:lpstr>
      <vt:lpstr>PIK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Yellow</dc:creator>
  <cp:lastModifiedBy>Santi Yellow</cp:lastModifiedBy>
  <dcterms:created xsi:type="dcterms:W3CDTF">2026-06-24T10:04:19Z</dcterms:created>
  <dcterms:modified xsi:type="dcterms:W3CDTF">2026-08-26T16:22:06Z</dcterms:modified>
</cp:coreProperties>
</file>