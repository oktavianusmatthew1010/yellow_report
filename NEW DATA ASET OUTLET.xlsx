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Yellow THN 2025\DATA SYSTEM PAK OKTA\"/>
    </mc:Choice>
  </mc:AlternateContent>
  <xr:revisionPtr revIDLastSave="0" documentId="13_ncr:1_{ED793B24-B257-46DE-9816-DA7099CBBFA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unter1" sheetId="10" r:id="rId1"/>
    <sheet name="SUNTER3" sheetId="2" r:id="rId2"/>
    <sheet name="Sunter4" sheetId="7" r:id="rId3"/>
    <sheet name="T Duren" sheetId="12" r:id="rId4"/>
    <sheet name="R Saleh" sheetId="9" r:id="rId5"/>
    <sheet name="Lebak Bulus" sheetId="8" r:id="rId6"/>
    <sheet name="Alam Sutra" sheetId="4" r:id="rId7"/>
    <sheet name="BSD" sheetId="5" r:id="rId8"/>
    <sheet name="CIKUPA" sheetId="3" r:id="rId9"/>
    <sheet name="Galuhmas" sheetId="6" r:id="rId10"/>
    <sheet name="PIK2" sheetId="11" r:id="rId11"/>
  </sheets>
  <definedNames>
    <definedName name="AA">#REF!</definedName>
    <definedName name="DaftarAkun">#REF!</definedName>
    <definedName name="KodeAkun">#REF!</definedName>
    <definedName name="NamaAkun">#REF!</definedName>
    <definedName name="_xlnm.Print_Area" localSheetId="5">'Lebak Bulus'!$C$1:$G$170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0" l="1"/>
  <c r="C69" i="9" l="1"/>
  <c r="C65" i="9"/>
  <c r="C62" i="9"/>
  <c r="C59" i="9"/>
  <c r="C57" i="9"/>
  <c r="C53" i="9"/>
  <c r="C52" i="9"/>
  <c r="C51" i="9"/>
  <c r="C42" i="9"/>
  <c r="C39" i="9"/>
  <c r="N38" i="9"/>
  <c r="N33" i="9"/>
  <c r="N34" i="9" s="1"/>
  <c r="N35" i="9" s="1"/>
  <c r="N36" i="9" s="1"/>
  <c r="N37" i="9" s="1"/>
  <c r="F32" i="9"/>
  <c r="F33" i="9" s="1"/>
  <c r="F34" i="9" s="1"/>
  <c r="F35" i="9" s="1"/>
  <c r="F36" i="9" s="1"/>
  <c r="F37" i="9" s="1"/>
  <c r="C27" i="9"/>
  <c r="N26" i="9"/>
  <c r="N27" i="9" s="1"/>
  <c r="N28" i="9" s="1"/>
  <c r="C23" i="9"/>
  <c r="C22" i="9"/>
  <c r="C21" i="9"/>
  <c r="R20" i="9"/>
  <c r="R21" i="9" s="1"/>
  <c r="R22" i="9" s="1"/>
  <c r="R23" i="9" s="1"/>
  <c r="R24" i="9" s="1"/>
  <c r="R25" i="9" s="1"/>
  <c r="R26" i="9" s="1"/>
  <c r="R27" i="9" s="1"/>
  <c r="R28" i="9" s="1"/>
  <c r="R29" i="9" s="1"/>
  <c r="C20" i="9"/>
  <c r="C19" i="9"/>
  <c r="R18" i="9"/>
  <c r="R19" i="9" s="1"/>
  <c r="F18" i="9"/>
  <c r="F19" i="9" s="1"/>
  <c r="F20" i="9" s="1"/>
  <c r="F21" i="9" s="1"/>
  <c r="F22" i="9" s="1"/>
  <c r="F23" i="9" s="1"/>
  <c r="F24" i="9" s="1"/>
  <c r="F25" i="9" s="1"/>
  <c r="F26" i="9" s="1"/>
  <c r="F27" i="9" s="1"/>
  <c r="C18" i="9"/>
  <c r="R17" i="9"/>
  <c r="J17" i="9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C17" i="9"/>
  <c r="C16" i="9"/>
  <c r="C15" i="9"/>
  <c r="C14" i="9"/>
  <c r="C13" i="9"/>
  <c r="C12" i="9"/>
  <c r="N11" i="9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C11" i="9"/>
  <c r="C10" i="9"/>
  <c r="C9" i="9"/>
  <c r="C8" i="9"/>
  <c r="C7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F6" i="9"/>
  <c r="F7" i="9" s="1"/>
  <c r="F8" i="9" s="1"/>
  <c r="F9" i="9" s="1"/>
  <c r="F10" i="9" s="1"/>
  <c r="F11" i="9" s="1"/>
  <c r="F12" i="9" s="1"/>
  <c r="F13" i="9" s="1"/>
  <c r="C6" i="9"/>
  <c r="A6" i="9"/>
  <c r="J5" i="9"/>
  <c r="J6" i="9" s="1"/>
  <c r="J7" i="9" s="1"/>
  <c r="J8" i="9" s="1"/>
  <c r="J9" i="9" s="1"/>
  <c r="J10" i="9" s="1"/>
  <c r="J11" i="9" s="1"/>
  <c r="J12" i="9" s="1"/>
  <c r="C5" i="9"/>
  <c r="R4" i="9"/>
  <c r="R5" i="9" s="1"/>
  <c r="R6" i="9" s="1"/>
  <c r="R7" i="9" s="1"/>
  <c r="R8" i="9" s="1"/>
  <c r="R9" i="9" s="1"/>
  <c r="R10" i="9" s="1"/>
  <c r="R11" i="9" s="1"/>
  <c r="R12" i="9" s="1"/>
  <c r="N4" i="9"/>
  <c r="N5" i="9" s="1"/>
  <c r="N6" i="9" s="1"/>
  <c r="J4" i="9"/>
  <c r="F4" i="9"/>
  <c r="F5" i="9" s="1"/>
  <c r="C4" i="9"/>
  <c r="C3" i="9"/>
  <c r="E165" i="8"/>
  <c r="C59" i="7"/>
  <c r="C95" i="9" l="1"/>
  <c r="C61" i="4"/>
</calcChain>
</file>

<file path=xl/sharedStrings.xml><?xml version="1.0" encoding="utf-8"?>
<sst xmlns="http://schemas.openxmlformats.org/spreadsheetml/2006/main" count="1635" uniqueCount="756">
  <si>
    <t>DATA ASET OUTLET YELLOW CARWASH SUNTER 3</t>
  </si>
  <si>
    <t>NAMA BARANG</t>
  </si>
  <si>
    <t>QTY</t>
  </si>
  <si>
    <t>MESIN ROBOTIK</t>
  </si>
  <si>
    <t>MESIN GRUNPOS</t>
  </si>
  <si>
    <t>TABUNG SHAMPO</t>
  </si>
  <si>
    <t>MESIN KOMPRESOR</t>
  </si>
  <si>
    <t>MESIN NITROGEN</t>
  </si>
  <si>
    <t>AC (RUANG TUNNGU)</t>
  </si>
  <si>
    <t>MESIN CUCI</t>
  </si>
  <si>
    <t>MESIN SANYO</t>
  </si>
  <si>
    <t>TOREN (8000ltr)</t>
  </si>
  <si>
    <t>TOREN (5000ltr)</t>
  </si>
  <si>
    <t>KOMPUTER (1set dengan cpu)</t>
  </si>
  <si>
    <t>KIPAS ANGIN</t>
  </si>
  <si>
    <t>PORTAL (1set dengan mesin)</t>
  </si>
  <si>
    <t>KIPAS EXOS</t>
  </si>
  <si>
    <t>MESIN VACUM</t>
  </si>
  <si>
    <t>RAK HANDUK</t>
  </si>
  <si>
    <t>HANDUK BESAR</t>
  </si>
  <si>
    <t>HANDUK KECIL</t>
  </si>
  <si>
    <t>MEJA TUNGGU AREA LUAR</t>
  </si>
  <si>
    <t>MEJA TUNGGU AERA DALAM</t>
  </si>
  <si>
    <t>SOFA PANJANG AREA DALAM</t>
  </si>
  <si>
    <t>KURSI TUNGGU AREA LUAR</t>
  </si>
  <si>
    <t>KURSI TUNGGU AREA DALAM</t>
  </si>
  <si>
    <t>KURSI PENGERINGAN (PLASTIK)</t>
  </si>
  <si>
    <t>TEMPAT SAMPAH</t>
  </si>
  <si>
    <t>MESIN FOGGING</t>
  </si>
  <si>
    <t>LAMPU (AREA LUAR)</t>
  </si>
  <si>
    <t>LAMPU (AREA DALAM)</t>
  </si>
  <si>
    <t>*KOMPRESOR 2HP</t>
  </si>
  <si>
    <t>*AC RUANG MEETING &amp; MANAGER</t>
  </si>
  <si>
    <t>KETERANGAN BARANG RUSAK :</t>
  </si>
  <si>
    <t>NO</t>
  </si>
  <si>
    <t>STOCK BARANG HO SAMPAI HARI INI TANGGAL 23 AGUSTUS 2026</t>
  </si>
  <si>
    <t>STOCK BARANG</t>
  </si>
  <si>
    <t>JUMLAH</t>
  </si>
  <si>
    <t xml:space="preserve">NO </t>
  </si>
  <si>
    <t>2 UNIT</t>
  </si>
  <si>
    <t>BAIK</t>
  </si>
  <si>
    <t>KOMPRESOR ANGIN 2 HP</t>
  </si>
  <si>
    <t>3 UNIT</t>
  </si>
  <si>
    <t>MESIN GRONDFUS</t>
  </si>
  <si>
    <t>1 UNIT</t>
  </si>
  <si>
    <t>SANYO SHIMITZU</t>
  </si>
  <si>
    <t>TOREN AIR (8.000 LTR)</t>
  </si>
  <si>
    <t xml:space="preserve">2 UNIT </t>
  </si>
  <si>
    <t xml:space="preserve">PERANGKAT KOMPUTER </t>
  </si>
  <si>
    <t xml:space="preserve">1 UNIT </t>
  </si>
  <si>
    <t>AC</t>
  </si>
  <si>
    <t>1 RUSAK</t>
  </si>
  <si>
    <t>MESIN VACUMAN</t>
  </si>
  <si>
    <t xml:space="preserve">MESIN CUCI </t>
  </si>
  <si>
    <t>MESIN VOGING</t>
  </si>
  <si>
    <t xml:space="preserve">BLOWER </t>
  </si>
  <si>
    <t>KURSI PUTAR KUNING</t>
  </si>
  <si>
    <t xml:space="preserve">4 UNIT </t>
  </si>
  <si>
    <t>CCTV</t>
  </si>
  <si>
    <t>16 UNIT</t>
  </si>
  <si>
    <t>KAMERA SENSOR</t>
  </si>
  <si>
    <t>MONITOR CCTV</t>
  </si>
  <si>
    <t>MODEM WIFI ORBIT</t>
  </si>
  <si>
    <t>WIFI INDIHOME</t>
  </si>
  <si>
    <t xml:space="preserve">BANGKU PANJANG </t>
  </si>
  <si>
    <t>4 UNIT</t>
  </si>
  <si>
    <t xml:space="preserve">MEJA </t>
  </si>
  <si>
    <t xml:space="preserve">8 UNIT </t>
  </si>
  <si>
    <t>KURSI BESI</t>
  </si>
  <si>
    <t>22 UNIT</t>
  </si>
  <si>
    <t>KURSI PLASTIK</t>
  </si>
  <si>
    <t xml:space="preserve">5 UNIT </t>
  </si>
  <si>
    <t>PORTAL DAN SCENAN</t>
  </si>
  <si>
    <t>TANGGA</t>
  </si>
  <si>
    <t>SATELIT AIR TANAH</t>
  </si>
  <si>
    <t>LAMPU TEMBAK</t>
  </si>
  <si>
    <t xml:space="preserve">6 UNIT </t>
  </si>
  <si>
    <t>LAMPU NEON</t>
  </si>
  <si>
    <t>14 UNIT</t>
  </si>
  <si>
    <t xml:space="preserve">AMPLI FIER </t>
  </si>
  <si>
    <t>I UNIT</t>
  </si>
  <si>
    <t>SPIKER</t>
  </si>
  <si>
    <t>LAMPU LOLIPOOP</t>
  </si>
  <si>
    <t>TONGSAMPAH KECIL</t>
  </si>
  <si>
    <t xml:space="preserve">TONG SAMPAH GEDE </t>
  </si>
  <si>
    <t>DAFTAR FIXED ASSET</t>
  </si>
  <si>
    <t xml:space="preserve">Outlet </t>
  </si>
  <si>
    <t xml:space="preserve">Yellow Carwash Alam Sutra </t>
  </si>
  <si>
    <t>No</t>
  </si>
  <si>
    <t>Nama Aset</t>
  </si>
  <si>
    <t>Jumlah</t>
  </si>
  <si>
    <t>Satuan</t>
  </si>
  <si>
    <t>Keterangan/Kondisi</t>
  </si>
  <si>
    <t>Robotic</t>
  </si>
  <si>
    <t>Unit</t>
  </si>
  <si>
    <t>Berfungsi Baik</t>
  </si>
  <si>
    <t xml:space="preserve">Panel Robotic </t>
  </si>
  <si>
    <t xml:space="preserve">Tabung Shampo </t>
  </si>
  <si>
    <t>Satelit Robotic</t>
  </si>
  <si>
    <t xml:space="preserve">Sanyo Air Kolongan </t>
  </si>
  <si>
    <t xml:space="preserve">Sanyo Air Toilet </t>
  </si>
  <si>
    <t>Satelit Air Tanah</t>
  </si>
  <si>
    <t>Toren Air Ukuran. 8000liter</t>
  </si>
  <si>
    <t xml:space="preserve">Kompresor </t>
  </si>
  <si>
    <t xml:space="preserve">Mesin Cuci </t>
  </si>
  <si>
    <t>1 Berfungsi Baik (1 Rusak)</t>
  </si>
  <si>
    <t xml:space="preserve">Vaccum Cleaner </t>
  </si>
  <si>
    <t xml:space="preserve">Kipas Angin </t>
  </si>
  <si>
    <t xml:space="preserve">Mesin Fogging </t>
  </si>
  <si>
    <t>1 Berfungsi Baik (2 Rusak)</t>
  </si>
  <si>
    <t xml:space="preserve">Jalur Kepala Steam </t>
  </si>
  <si>
    <t>Steger Besi</t>
  </si>
  <si>
    <t xml:space="preserve">AC Ruangan </t>
  </si>
  <si>
    <t xml:space="preserve">Nitrogen </t>
  </si>
  <si>
    <t xml:space="preserve">Mesin Absen Clockster </t>
  </si>
  <si>
    <t xml:space="preserve">Lampu Tembak </t>
  </si>
  <si>
    <t>Panel PLN</t>
  </si>
  <si>
    <t xml:space="preserve">Meja Kantor </t>
  </si>
  <si>
    <t xml:space="preserve">Sofa Kantor </t>
  </si>
  <si>
    <t>Lemari Es Cube</t>
  </si>
  <si>
    <t xml:space="preserve">Meja Kasir </t>
  </si>
  <si>
    <t xml:space="preserve">Bangku Ruang Tunggu </t>
  </si>
  <si>
    <t xml:space="preserve">Bangku Kasir </t>
  </si>
  <si>
    <t xml:space="preserve">Amply Salon </t>
  </si>
  <si>
    <t>Rusak</t>
  </si>
  <si>
    <t xml:space="preserve">Speaker </t>
  </si>
  <si>
    <t xml:space="preserve">Mouse Komputer </t>
  </si>
  <si>
    <t xml:space="preserve">Monitor Komputer </t>
  </si>
  <si>
    <t xml:space="preserve">Monitor CCTV </t>
  </si>
  <si>
    <t>Keyword Komputer</t>
  </si>
  <si>
    <t xml:space="preserve">Mesin Printer Kasir </t>
  </si>
  <si>
    <t xml:space="preserve">Stabilizer </t>
  </si>
  <si>
    <t xml:space="preserve">Meja Tunggu Minimarket </t>
  </si>
  <si>
    <t xml:space="preserve">Rak Hambalan Cube Minimarket </t>
  </si>
  <si>
    <t xml:space="preserve">Bangku Minimarket </t>
  </si>
  <si>
    <t xml:space="preserve">Mesin Telpon </t>
  </si>
  <si>
    <t xml:space="preserve">CPU komputer </t>
  </si>
  <si>
    <t>Mesin Vacuum</t>
  </si>
  <si>
    <t xml:space="preserve">Wifi Minimarket </t>
  </si>
  <si>
    <t xml:space="preserve">Rak Gudang Minimarket </t>
  </si>
  <si>
    <t xml:space="preserve">Toilet </t>
  </si>
  <si>
    <t xml:space="preserve">Wastafel </t>
  </si>
  <si>
    <t xml:space="preserve">Semprotan Air Toilet </t>
  </si>
  <si>
    <t xml:space="preserve">Pagar Pintu Depan </t>
  </si>
  <si>
    <t xml:space="preserve">Pagar Pintu Keluar </t>
  </si>
  <si>
    <t>Mesin Portal</t>
  </si>
  <si>
    <t xml:space="preserve">Palang Portal </t>
  </si>
  <si>
    <t>Pcs</t>
  </si>
  <si>
    <t>Micro Fiber Kecil</t>
  </si>
  <si>
    <t>Micro Fiber Besar</t>
  </si>
  <si>
    <t>Rak Parfume Cube</t>
  </si>
  <si>
    <t>Logo Waktu Buka Tutup</t>
  </si>
  <si>
    <t xml:space="preserve">Lolipop Banner Yellow </t>
  </si>
  <si>
    <t xml:space="preserve">Logo Cuci Mobil </t>
  </si>
  <si>
    <t xml:space="preserve">Logo Cube Minimarket </t>
  </si>
  <si>
    <t>TOTAL JENIS ASET</t>
  </si>
  <si>
    <t>DATA ASSET OUTLET YELLOW BSD RAWA BUNTU</t>
  </si>
  <si>
    <t>NAMA ASSET</t>
  </si>
  <si>
    <t>KETERANGAN</t>
  </si>
  <si>
    <t>ROBOTIK + PANEL</t>
  </si>
  <si>
    <t>BERFUNGSI</t>
  </si>
  <si>
    <t>MESIN SATELIT</t>
  </si>
  <si>
    <t>POMPA JETPUMP</t>
  </si>
  <si>
    <t>AC CUBE</t>
  </si>
  <si>
    <t>MERK DAIKIN 1 UK 1 PK</t>
  </si>
  <si>
    <t>BERFUNGSI TIDAK DINGIN KENDALA ADA DIBAGIAN KOMPRESOR</t>
  </si>
  <si>
    <t>BERFUNGSI DINGIN BARU 1/04/26</t>
  </si>
  <si>
    <t>MERK MITSHUBITSHI 2 PK</t>
  </si>
  <si>
    <t>BERFUNGSI DINGIN</t>
  </si>
  <si>
    <t>AMPLIFIER MERK VETARO ZX 279000</t>
  </si>
  <si>
    <t>SPEACKER AKTIF BMC OUTDOOR</t>
  </si>
  <si>
    <t>PESAWAT TLP</t>
  </si>
  <si>
    <t>TIDAK BERFUNGSI</t>
  </si>
  <si>
    <t>MONITOR CCTV MERK HP + DVR</t>
  </si>
  <si>
    <t xml:space="preserve">KAMERA CCTV </t>
  </si>
  <si>
    <t xml:space="preserve">7 BERFUNGSI - 3 TIDAK BERFUNGSI - 1 DIBAGIAN PENGERING DEPAN PINTU MASUK </t>
  </si>
  <si>
    <t>CUBE,-2 BAGIAN PINTU UTAMA,-3 BAGIAN RUANGAN MESIN CUCI</t>
  </si>
  <si>
    <t>DECODER WIFI ZTE</t>
  </si>
  <si>
    <t>UNIT BERFUNGSI</t>
  </si>
  <si>
    <t>MONITOR POS  MERK SAMSUNG + CPU</t>
  </si>
  <si>
    <t>SCANER POS MERK ARGOX</t>
  </si>
  <si>
    <t>PRINTER STRUK POS</t>
  </si>
  <si>
    <t xml:space="preserve">MONITOR + CPU </t>
  </si>
  <si>
    <t>RUSAK</t>
  </si>
  <si>
    <t>PORTAL KELUAR + SCANER MERK SIMBOL</t>
  </si>
  <si>
    <t>BERFUNGSI SCANER BARU 12/08/26</t>
  </si>
  <si>
    <t>SCANER PORTAL LAMA MERK EZTECH</t>
  </si>
  <si>
    <t>WASTAFEL CUCI TANGAN + CUCI PIRING</t>
  </si>
  <si>
    <t>RAK 3 SUSUN BESI PELETAKAN MOINTOR CCTV</t>
  </si>
  <si>
    <t>MEJA RUANG TUNGGU INDOOR UK1,5 M KAKI BESI</t>
  </si>
  <si>
    <t xml:space="preserve">MEJA RUANG TUNGGU INDOOR BULAT KAKI BESI </t>
  </si>
  <si>
    <t xml:space="preserve">BANGKU RUANG TUNGGU INDOOR KAKI BESI </t>
  </si>
  <si>
    <t>FREEZER ICE CREAM GLICO</t>
  </si>
  <si>
    <t xml:space="preserve">KULKAS PENDINGIN SUPPLIER HYDROCOCO </t>
  </si>
  <si>
    <t>KULKAS PENDINGIN SUPPLIER NU GREEN TEA</t>
  </si>
  <si>
    <t>KULKAS PENDINGIN MEDIA</t>
  </si>
  <si>
    <t>RUSAK TIDAK BERFUNGSI DIGUDANG CUBE</t>
  </si>
  <si>
    <t>RAK 3 SUSUN SNACK CUBE</t>
  </si>
  <si>
    <t>RAK DISPLAY HOKAIDO</t>
  </si>
  <si>
    <t>MEJA BULAT RUANG TUNGGU OUTDOOR  KAKI BESI</t>
  </si>
  <si>
    <t>KURSI RUANG TUNGGU OUTDOOR KAKI BESI</t>
  </si>
  <si>
    <t>MESIN NITROGEN + COMPRESOR MERK GIHON 2 HP</t>
  </si>
  <si>
    <t>COMPRESOR ANGIN MERK GIHON 2 HP</t>
  </si>
  <si>
    <t>COMPRESOR ANGIN MERK IRROSHOM 2 HP</t>
  </si>
  <si>
    <t>BELUM BERFUNGSI MENUNGGU CONECTOR DENGAN PA SANURI</t>
  </si>
  <si>
    <t xml:space="preserve">BERFUNGSI </t>
  </si>
  <si>
    <t>VACUM MERK DCR</t>
  </si>
  <si>
    <t xml:space="preserve">VACUM MERK DCR </t>
  </si>
  <si>
    <t>LEMAH DINAMO DAN 1 TABUNG RUSAK</t>
  </si>
  <si>
    <t>VACUM MERK BOSCH</t>
  </si>
  <si>
    <t xml:space="preserve"> RUSAK</t>
  </si>
  <si>
    <t>MESIN CUCI MERK MASPION 2 TABUNG</t>
  </si>
  <si>
    <t>KIPAS ANGIN MERK KRISBOW BUAT PENGERING MICRO</t>
  </si>
  <si>
    <t>RAK PLASTIK 3 SUSUN MICRO</t>
  </si>
  <si>
    <t>TOREN AIR MERK PENGUIN UK 5100 LITER</t>
  </si>
  <si>
    <t>TABUNG SAMPHO STANLIST</t>
  </si>
  <si>
    <t xml:space="preserve">1 TABUNG BERFUNGSI , 2 TABUNG BOCOR ATAU RETAK TIDAK BERFUNGSI </t>
  </si>
  <si>
    <t>TABUNG SAMPHO BIRU MODIF COMPRESOR</t>
  </si>
  <si>
    <t xml:space="preserve"> BERFUNGSI</t>
  </si>
  <si>
    <t>DATA ASSET OUTLET KARAWANG</t>
  </si>
  <si>
    <t>BARANG</t>
  </si>
  <si>
    <t>robotic</t>
  </si>
  <si>
    <t>2 set</t>
  </si>
  <si>
    <t xml:space="preserve">pompa cnp </t>
  </si>
  <si>
    <t>kompresor</t>
  </si>
  <si>
    <t>pompa sanyo</t>
  </si>
  <si>
    <t>jet pump</t>
  </si>
  <si>
    <t>toren 8000 liter</t>
  </si>
  <si>
    <t>bangku panjat</t>
  </si>
  <si>
    <t>tempat sampah</t>
  </si>
  <si>
    <t>tempat sampah besar</t>
  </si>
  <si>
    <t>vacuum cleaner</t>
  </si>
  <si>
    <t xml:space="preserve">mesin nitrogen </t>
  </si>
  <si>
    <t>mesin cuci</t>
  </si>
  <si>
    <t xml:space="preserve">blower </t>
  </si>
  <si>
    <t>towel besar</t>
  </si>
  <si>
    <t xml:space="preserve">towel kecil </t>
  </si>
  <si>
    <t>bak towel</t>
  </si>
  <si>
    <t>keranjang towel</t>
  </si>
  <si>
    <t>ac ruang tunggu</t>
  </si>
  <si>
    <t>ac ruang meeting</t>
  </si>
  <si>
    <t>kursi ruang tunggu dalam</t>
  </si>
  <si>
    <t>meja kecil ruang tunggu dalam</t>
  </si>
  <si>
    <t>meja panjang ruang tunggu dalam</t>
  </si>
  <si>
    <t>komputer kasir</t>
  </si>
  <si>
    <t>1 set</t>
  </si>
  <si>
    <t xml:space="preserve">printer kasir </t>
  </si>
  <si>
    <t>amplifier</t>
  </si>
  <si>
    <t>speaker musik</t>
  </si>
  <si>
    <t>kamera cctv</t>
  </si>
  <si>
    <t>monitor cctv</t>
  </si>
  <si>
    <t>meja ruang meeting</t>
  </si>
  <si>
    <t xml:space="preserve">kursi ruang meeting </t>
  </si>
  <si>
    <t>tangga lipat</t>
  </si>
  <si>
    <t xml:space="preserve">mesin fogging </t>
  </si>
  <si>
    <t xml:space="preserve">bendera merah putih </t>
  </si>
  <si>
    <t>lampu sorot</t>
  </si>
  <si>
    <t>lampu panjang area pengringan</t>
  </si>
  <si>
    <t>lampu panjang area robotic</t>
  </si>
  <si>
    <t xml:space="preserve">pot panjang </t>
  </si>
  <si>
    <t xml:space="preserve">pot kecil </t>
  </si>
  <si>
    <t>bangku besi panjang</t>
  </si>
  <si>
    <t>cone/kerucut</t>
  </si>
  <si>
    <t>sapu lidi</t>
  </si>
  <si>
    <t>pengki</t>
  </si>
  <si>
    <t>sapu ijuk</t>
  </si>
  <si>
    <t>tarikan air</t>
  </si>
  <si>
    <t>pel lantai</t>
  </si>
  <si>
    <t>ember pel</t>
  </si>
  <si>
    <t>bangku dan meja panjang r. tunggu luar</t>
  </si>
  <si>
    <t>asbak ruang tunggu luar</t>
  </si>
  <si>
    <t>Proyektor</t>
  </si>
  <si>
    <t>1 unit rusak</t>
  </si>
  <si>
    <t>Monitor</t>
  </si>
  <si>
    <t>Keyboard</t>
  </si>
  <si>
    <t>Mouse</t>
  </si>
  <si>
    <t>Printer</t>
  </si>
  <si>
    <t>Meja Meeting</t>
  </si>
  <si>
    <t>Kursi Meja Meeting</t>
  </si>
  <si>
    <t>White Board</t>
  </si>
  <si>
    <t>TV 22"</t>
  </si>
  <si>
    <t>rusak</t>
  </si>
  <si>
    <t>Kamera CCTV</t>
  </si>
  <si>
    <t>Receiver CCTV</t>
  </si>
  <si>
    <t>Monitor CCTV</t>
  </si>
  <si>
    <t>Mouse cctv</t>
  </si>
  <si>
    <t>Pintu Portal</t>
  </si>
  <si>
    <t>Lampu Sorot</t>
  </si>
  <si>
    <t>Urinoir</t>
  </si>
  <si>
    <t>Cermin Toilet</t>
  </si>
  <si>
    <t>Wastafel</t>
  </si>
  <si>
    <t>Kloset</t>
  </si>
  <si>
    <t>Brangkas</t>
  </si>
  <si>
    <t>Lemari Mess</t>
  </si>
  <si>
    <t>Rak Display</t>
  </si>
  <si>
    <t>Meja Kasir</t>
  </si>
  <si>
    <t>Rak Aeroblade</t>
  </si>
  <si>
    <t>Meja bulat Luar</t>
  </si>
  <si>
    <t>Kursi hitam Luar</t>
  </si>
  <si>
    <t>Meja bulat dalam</t>
  </si>
  <si>
    <t>Kursi coklat dalam</t>
  </si>
  <si>
    <t>Kursi coklat Luar</t>
  </si>
  <si>
    <t>Rak Display cube gantung</t>
  </si>
  <si>
    <t>Kursi Kasir</t>
  </si>
  <si>
    <t>Rak Display Kogado</t>
  </si>
  <si>
    <t>Rak Display cube kecil</t>
  </si>
  <si>
    <t>Mesin Robotic</t>
  </si>
  <si>
    <t>Panel Robotic</t>
  </si>
  <si>
    <t>Kompressor</t>
  </si>
  <si>
    <t>Torren Uk 8000 Liter</t>
  </si>
  <si>
    <t>Torren Uk 650 Liter</t>
  </si>
  <si>
    <t>Nitrogen</t>
  </si>
  <si>
    <t>2 unit rusak</t>
  </si>
  <si>
    <t>Tabung Shampo</t>
  </si>
  <si>
    <t>Mesin Cuci</t>
  </si>
  <si>
    <t>Rak Microfiber</t>
  </si>
  <si>
    <t>Gantungan Microfiber</t>
  </si>
  <si>
    <t>Kipas Angin</t>
  </si>
  <si>
    <t>Tempat Sampah</t>
  </si>
  <si>
    <t>4 rusak</t>
  </si>
  <si>
    <t>Sulo uk 100liter</t>
  </si>
  <si>
    <t>Kursi Plastik penggeringan</t>
  </si>
  <si>
    <t>Mesin Fogging</t>
  </si>
  <si>
    <t>Logo Lollipop</t>
  </si>
  <si>
    <t>lampu mati</t>
  </si>
  <si>
    <t>ASET DATA TERBARU YELLOW CARWASH OUTLET LEBAK BULUS</t>
  </si>
  <si>
    <t>DESKRIPSI</t>
  </si>
  <si>
    <t>NOTES</t>
  </si>
  <si>
    <t>A</t>
  </si>
  <si>
    <t>AREA PENCUCIAN</t>
  </si>
  <si>
    <t>1</t>
  </si>
  <si>
    <t>Lot Parkir</t>
  </si>
  <si>
    <t>lot</t>
  </si>
  <si>
    <t>2</t>
  </si>
  <si>
    <t>Mesin Shower</t>
  </si>
  <si>
    <t>unit</t>
  </si>
  <si>
    <t>3</t>
  </si>
  <si>
    <t>Kompressor Angin</t>
  </si>
  <si>
    <t>3 HP</t>
  </si>
  <si>
    <t>4</t>
  </si>
  <si>
    <t>Pompa CNP</t>
  </si>
  <si>
    <t>5</t>
  </si>
  <si>
    <t>Pompa Air Torrent</t>
  </si>
  <si>
    <t>6</t>
  </si>
  <si>
    <t>Pompa Air Kolongan</t>
  </si>
  <si>
    <t>7</t>
  </si>
  <si>
    <t>Pompa Air Toilet</t>
  </si>
  <si>
    <t>8</t>
  </si>
  <si>
    <t xml:space="preserve">Torrent Air </t>
  </si>
  <si>
    <t>2 x 8.000 liter</t>
  </si>
  <si>
    <t>9</t>
  </si>
  <si>
    <t>Tabung Shampoo</t>
  </si>
  <si>
    <t>10</t>
  </si>
  <si>
    <t>Selang Shampoo</t>
  </si>
  <si>
    <t>mtr</t>
  </si>
  <si>
    <t>11</t>
  </si>
  <si>
    <t>Nozzle Spray Shampoo</t>
  </si>
  <si>
    <t>pcs</t>
  </si>
  <si>
    <t>12</t>
  </si>
  <si>
    <t>13</t>
  </si>
  <si>
    <t>Kran Air</t>
  </si>
  <si>
    <t>14</t>
  </si>
  <si>
    <t>Lampu Area Pencucian</t>
  </si>
  <si>
    <t>15</t>
  </si>
  <si>
    <t>Ember Kolongan</t>
  </si>
  <si>
    <t>16</t>
  </si>
  <si>
    <t>Selang Kolongan</t>
  </si>
  <si>
    <t>17</t>
  </si>
  <si>
    <t>Kepala Steam</t>
  </si>
  <si>
    <t>18</t>
  </si>
  <si>
    <t>Sikat Ban</t>
  </si>
  <si>
    <t>19</t>
  </si>
  <si>
    <t>Bangku Manjat</t>
  </si>
  <si>
    <t>20</t>
  </si>
  <si>
    <t>Bangku Tunggu Washer</t>
  </si>
  <si>
    <t>bangku panjang</t>
  </si>
  <si>
    <t>B</t>
  </si>
  <si>
    <t>AREA PENGERINGAN</t>
  </si>
  <si>
    <t>Colokan 2 lubang</t>
  </si>
  <si>
    <t>Tembakan Angin</t>
  </si>
  <si>
    <t>set</t>
  </si>
  <si>
    <t>Lampu Area Pengeringan</t>
  </si>
  <si>
    <t>Vacuum Cleaner</t>
  </si>
  <si>
    <t>Alat Fogging</t>
  </si>
  <si>
    <t>Mesin Portal &amp; Palang</t>
  </si>
  <si>
    <t>Scanner Portal &amp; Blueberry Relay</t>
  </si>
  <si>
    <t>Pos Portal</t>
  </si>
  <si>
    <t>Mesin Nitrogen</t>
  </si>
  <si>
    <t>Kompresor Nitrogen</t>
  </si>
  <si>
    <t>Colokan Nitrogen</t>
  </si>
  <si>
    <t>Selang Nitrogen</t>
  </si>
  <si>
    <t>Tempat Sampah Krisbow Besar Pakai Roda</t>
  </si>
  <si>
    <t>Sapu Lidi</t>
  </si>
  <si>
    <t>Pengki</t>
  </si>
  <si>
    <t>C</t>
  </si>
  <si>
    <t>PERLENGKAPAN</t>
  </si>
  <si>
    <t xml:space="preserve">Shampoo </t>
  </si>
  <si>
    <t>jrg</t>
  </si>
  <si>
    <t>Semir Ban</t>
  </si>
  <si>
    <t>ltr</t>
  </si>
  <si>
    <t xml:space="preserve">Hand Wax </t>
  </si>
  <si>
    <t>btl</t>
  </si>
  <si>
    <t>Glass Wax</t>
  </si>
  <si>
    <t>Anti Jamur</t>
  </si>
  <si>
    <t>tube</t>
  </si>
  <si>
    <t>Obat Fogging</t>
  </si>
  <si>
    <t>Pencuci Mesin</t>
  </si>
  <si>
    <t>Pengkilap Mesin</t>
  </si>
  <si>
    <t>Sabun Colek</t>
  </si>
  <si>
    <t>dus</t>
  </si>
  <si>
    <t>Microfiber Besar</t>
  </si>
  <si>
    <t>Microfiber Kecil</t>
  </si>
  <si>
    <t>Microfiber Selahan</t>
  </si>
  <si>
    <t>Sponge</t>
  </si>
  <si>
    <t xml:space="preserve">Karpet Jamur </t>
  </si>
  <si>
    <t>roll</t>
  </si>
  <si>
    <t>Kuas Pendek Cuci Mesin</t>
  </si>
  <si>
    <t>Kuas Panjang Cuci Mesin</t>
  </si>
  <si>
    <t>D</t>
  </si>
  <si>
    <t>RUANG TUNGGU CUSTOMER/CUBE MINIMARKET</t>
  </si>
  <si>
    <t>Meja Bundar</t>
  </si>
  <si>
    <t>Kursi Meja Bundar</t>
  </si>
  <si>
    <t>Meja Panjang</t>
  </si>
  <si>
    <t>Kursi Meja Panjang (Bar Stool)</t>
  </si>
  <si>
    <t>Rak Display Product Snack &amp; Minuman</t>
  </si>
  <si>
    <t>Rak Display Dr. Klin</t>
  </si>
  <si>
    <t>Rak Display Higen/Yunikon</t>
  </si>
  <si>
    <t>Rak Otogard</t>
  </si>
  <si>
    <t>Rak Hokaido</t>
  </si>
  <si>
    <t>Rak Cube Air Freshener</t>
  </si>
  <si>
    <t>Rak Box Display Karpet Comfort</t>
  </si>
  <si>
    <t>Chiller Display Minuman</t>
  </si>
  <si>
    <t>Chiller Display Es Krim</t>
  </si>
  <si>
    <t>Meja Kasir Sekaligus Rak Display</t>
  </si>
  <si>
    <t>Laci Cashdrawer</t>
  </si>
  <si>
    <t>PC Desktop</t>
  </si>
  <si>
    <t>Monitor PC</t>
  </si>
  <si>
    <t>21</t>
  </si>
  <si>
    <t>22</t>
  </si>
  <si>
    <t>23</t>
  </si>
  <si>
    <t>ATK</t>
  </si>
  <si>
    <t>24</t>
  </si>
  <si>
    <t>Buku</t>
  </si>
  <si>
    <t>sales, stock, expired, serah terima</t>
  </si>
  <si>
    <t>25</t>
  </si>
  <si>
    <t>Printer Kasir</t>
  </si>
  <si>
    <t>26</t>
  </si>
  <si>
    <t>Struk Termal Kasir</t>
  </si>
  <si>
    <t>27</t>
  </si>
  <si>
    <t>Mesin EDC BCA</t>
  </si>
  <si>
    <t>28</t>
  </si>
  <si>
    <t>Struk EDC BCA</t>
  </si>
  <si>
    <t>29</t>
  </si>
  <si>
    <t>30</t>
  </si>
  <si>
    <t>Toilet Customer</t>
  </si>
  <si>
    <t>31</t>
  </si>
  <si>
    <t>Washtafel + Kran</t>
  </si>
  <si>
    <t>32</t>
  </si>
  <si>
    <t>Water Closet</t>
  </si>
  <si>
    <t>33</t>
  </si>
  <si>
    <t>Shower + Kran</t>
  </si>
  <si>
    <t>34</t>
  </si>
  <si>
    <t>Sikat WC</t>
  </si>
  <si>
    <t>35</t>
  </si>
  <si>
    <t>Exhaust Toilet Customer</t>
  </si>
  <si>
    <t>36</t>
  </si>
  <si>
    <t>Lampu Toilet Customer</t>
  </si>
  <si>
    <t>37</t>
  </si>
  <si>
    <t>Pot Bunga Sintetis Toilet Customer</t>
  </si>
  <si>
    <t>38</t>
  </si>
  <si>
    <t>Tempat Sampah Toilet Customer</t>
  </si>
  <si>
    <t>39</t>
  </si>
  <si>
    <t>Keset Kaki Toilet Customer</t>
  </si>
  <si>
    <t>40</t>
  </si>
  <si>
    <t>Gudang + Rak Barang</t>
  </si>
  <si>
    <t>41</t>
  </si>
  <si>
    <t>Box Kontainer</t>
  </si>
  <si>
    <t>42</t>
  </si>
  <si>
    <t>Lampu Gudang</t>
  </si>
  <si>
    <t>43</t>
  </si>
  <si>
    <t>Lampu Ruang Tunggu Bagian Dalam</t>
  </si>
  <si>
    <t>44</t>
  </si>
  <si>
    <t>Lampu Ruang Tunggu Bagian Luar</t>
  </si>
  <si>
    <t>45</t>
  </si>
  <si>
    <t>Keset Kaki Welcome Ruang Tunggu Bagian Luar</t>
  </si>
  <si>
    <t>46</t>
  </si>
  <si>
    <t>Bangku Panjang Ruang Tunggu Bagian Luar</t>
  </si>
  <si>
    <t>47</t>
  </si>
  <si>
    <t>Tempat Sampah Ruang Tunggu Bagian Dalam</t>
  </si>
  <si>
    <t>48</t>
  </si>
  <si>
    <t>Tempat Sampah Ruang Tunggu Bagian Luar</t>
  </si>
  <si>
    <t>49</t>
  </si>
  <si>
    <t>Sapu, Pengki Alat Pel, Ember, Serokan Kaca, Serokan Air</t>
  </si>
  <si>
    <t>50</t>
  </si>
  <si>
    <t>Speaker TOA</t>
  </si>
  <si>
    <t>51</t>
  </si>
  <si>
    <t>Sound Amplifier TOA</t>
  </si>
  <si>
    <t>52</t>
  </si>
  <si>
    <t>Router Wifi IndiHome</t>
  </si>
  <si>
    <t>53</t>
  </si>
  <si>
    <t>CCTV Ruang Tunggu</t>
  </si>
  <si>
    <t>54</t>
  </si>
  <si>
    <t>DVR CCTV</t>
  </si>
  <si>
    <t>55</t>
  </si>
  <si>
    <t>56</t>
  </si>
  <si>
    <t xml:space="preserve">Telephone </t>
  </si>
  <si>
    <t>57</t>
  </si>
  <si>
    <t>Alat Pengharum Ruangan Otomatis</t>
  </si>
  <si>
    <t>E</t>
  </si>
  <si>
    <t>RUANG MEETING</t>
  </si>
  <si>
    <t>Kursi</t>
  </si>
  <si>
    <t>Lampu</t>
  </si>
  <si>
    <t>F</t>
  </si>
  <si>
    <t>RUANG MANAGER</t>
  </si>
  <si>
    <t>Meja Kerja</t>
  </si>
  <si>
    <t>Kulkas 2 Pintu</t>
  </si>
  <si>
    <t>Jemuran Microfiber</t>
  </si>
  <si>
    <t>Kipas Angin Microfiber</t>
  </si>
  <si>
    <t>Alas Kaki</t>
  </si>
  <si>
    <t>rim</t>
  </si>
  <si>
    <t>G</t>
  </si>
  <si>
    <t>SIGNAGE</t>
  </si>
  <si>
    <t>Lollypop Yellow</t>
  </si>
  <si>
    <t>Neon Box In</t>
  </si>
  <si>
    <t>Neon Box Cuci Mobil</t>
  </si>
  <si>
    <t>Neon Box Buka 07:00 - 24:00</t>
  </si>
  <si>
    <t>Papan Menu Carwash + Rangka Besi</t>
  </si>
  <si>
    <t>Papan Peringatan + Rangka Besi</t>
  </si>
  <si>
    <t>Papan Promo Fogging</t>
  </si>
  <si>
    <t>Papan Promo Weekday</t>
  </si>
  <si>
    <t>H</t>
  </si>
  <si>
    <t>KARYAWAN</t>
  </si>
  <si>
    <t>Manager</t>
  </si>
  <si>
    <t>org</t>
  </si>
  <si>
    <t>Leader</t>
  </si>
  <si>
    <t>Cashier</t>
  </si>
  <si>
    <t>Washer</t>
  </si>
  <si>
    <t>Security</t>
  </si>
  <si>
    <t>Total Karyawan:</t>
  </si>
  <si>
    <t>Bagian Depan</t>
  </si>
  <si>
    <t>Bagian Pengeringan</t>
  </si>
  <si>
    <t>Ruang Penyimpanan</t>
  </si>
  <si>
    <t>Mess</t>
  </si>
  <si>
    <t>Nama Asset</t>
  </si>
  <si>
    <t xml:space="preserve">Banner </t>
  </si>
  <si>
    <t xml:space="preserve">Semprotan Angin </t>
  </si>
  <si>
    <t>Pel</t>
  </si>
  <si>
    <t>Loker</t>
  </si>
  <si>
    <t xml:space="preserve">Lampu Lollipop </t>
  </si>
  <si>
    <t>UNIT</t>
  </si>
  <si>
    <t xml:space="preserve">Vacum </t>
  </si>
  <si>
    <t>Rak Besi</t>
  </si>
  <si>
    <t>Ember</t>
  </si>
  <si>
    <t>Lampu Waktu buka - Tutup</t>
  </si>
  <si>
    <t>Vacum Kecil (Rusak)</t>
  </si>
  <si>
    <t>Meja Kayu</t>
  </si>
  <si>
    <t>Lemari</t>
  </si>
  <si>
    <t xml:space="preserve">Mesin Nitrogen </t>
  </si>
  <si>
    <t xml:space="preserve">Tong Sampah </t>
  </si>
  <si>
    <t>Kulkas Rusak</t>
  </si>
  <si>
    <t>Kipas</t>
  </si>
  <si>
    <t>Kasur</t>
  </si>
  <si>
    <t xml:space="preserve">Rumah Nitrogen </t>
  </si>
  <si>
    <t>Rak</t>
  </si>
  <si>
    <t>Ruang Kantor</t>
  </si>
  <si>
    <t>Magicom</t>
  </si>
  <si>
    <t>Portal</t>
  </si>
  <si>
    <t>SET</t>
  </si>
  <si>
    <t xml:space="preserve">Dispeser </t>
  </si>
  <si>
    <t>Cone</t>
  </si>
  <si>
    <t>Spray</t>
  </si>
  <si>
    <t>Galon</t>
  </si>
  <si>
    <t>Pagar</t>
  </si>
  <si>
    <t xml:space="preserve">Container Box </t>
  </si>
  <si>
    <t>Kursi Gede</t>
  </si>
  <si>
    <t>Bendera</t>
  </si>
  <si>
    <t>Kabel Panjang</t>
  </si>
  <si>
    <t xml:space="preserve">Kursi </t>
  </si>
  <si>
    <t>Tong Sampah</t>
  </si>
  <si>
    <t>Pot Bunga</t>
  </si>
  <si>
    <t xml:space="preserve">Lemari </t>
  </si>
  <si>
    <t xml:space="preserve">Mesin Robotic </t>
  </si>
  <si>
    <t>Bagian Kasir &amp; Ruang Tunggu</t>
  </si>
  <si>
    <t>Brankas</t>
  </si>
  <si>
    <t>Bagian Belakang</t>
  </si>
  <si>
    <t>Bagian Pencucian</t>
  </si>
  <si>
    <t xml:space="preserve">Cctv </t>
  </si>
  <si>
    <t>Tabung Sampo</t>
  </si>
  <si>
    <t xml:space="preserve">Kulkas </t>
  </si>
  <si>
    <t xml:space="preserve">Kulkas Rusak </t>
  </si>
  <si>
    <t xml:space="preserve">Keyboard </t>
  </si>
  <si>
    <t>Selang</t>
  </si>
  <si>
    <t>Modem Wifi</t>
  </si>
  <si>
    <t>Freezer Ice Cream</t>
  </si>
  <si>
    <t>Telephone</t>
  </si>
  <si>
    <t xml:space="preserve">Pompa Air </t>
  </si>
  <si>
    <t>Rak Besi Cube</t>
  </si>
  <si>
    <t>Wastafel Cuci Karpet</t>
  </si>
  <si>
    <t xml:space="preserve">Toren </t>
  </si>
  <si>
    <t>Rak Parfum</t>
  </si>
  <si>
    <t>Mesin Cctv</t>
  </si>
  <si>
    <t>Tangga</t>
  </si>
  <si>
    <t xml:space="preserve">Selang Hidrolik </t>
  </si>
  <si>
    <t xml:space="preserve">Drum Kosong </t>
  </si>
  <si>
    <t>Hidrolik</t>
  </si>
  <si>
    <t>Kompresor</t>
  </si>
  <si>
    <t>Rak Wiper</t>
  </si>
  <si>
    <t>Ruang Meeting</t>
  </si>
  <si>
    <t>Cangkul</t>
  </si>
  <si>
    <t xml:space="preserve">Kursi Panjang </t>
  </si>
  <si>
    <t>Meja Tunggu</t>
  </si>
  <si>
    <t>Mesin FOGGING Rusak</t>
  </si>
  <si>
    <t xml:space="preserve">Bunga Plasik </t>
  </si>
  <si>
    <t>Kursi Tunggu</t>
  </si>
  <si>
    <t xml:space="preserve">Asbak </t>
  </si>
  <si>
    <t>Meja Tunggu Panjang</t>
  </si>
  <si>
    <t>Meja</t>
  </si>
  <si>
    <t>Serokan Air</t>
  </si>
  <si>
    <t>Kursi Kayu</t>
  </si>
  <si>
    <t>Tv</t>
  </si>
  <si>
    <t>Sikat</t>
  </si>
  <si>
    <t>Meja + Rak Kasir</t>
  </si>
  <si>
    <t>Papan Kaca</t>
  </si>
  <si>
    <t xml:space="preserve">Jam Dinding </t>
  </si>
  <si>
    <t>Bagian Ruang Tunggu Luar</t>
  </si>
  <si>
    <t>CPU</t>
  </si>
  <si>
    <t>Toilet</t>
  </si>
  <si>
    <t xml:space="preserve">Printer </t>
  </si>
  <si>
    <t>Wc Duduk</t>
  </si>
  <si>
    <t>Banner Harga</t>
  </si>
  <si>
    <t>Wc Berdiri (Russak)</t>
  </si>
  <si>
    <t>HP BCA</t>
  </si>
  <si>
    <t>Tempat Tissue</t>
  </si>
  <si>
    <t>Tempat Hand Wash</t>
  </si>
  <si>
    <t>Laci Kecil</t>
  </si>
  <si>
    <t>Cermin</t>
  </si>
  <si>
    <t>TOTAL JENIS ASSET</t>
  </si>
  <si>
    <t>FIXED ASSET OUTLET SUNTER 1</t>
  </si>
  <si>
    <t>PERIODE AGUSTUS 2026</t>
  </si>
  <si>
    <t>JENIS ASET</t>
  </si>
  <si>
    <t>DESC</t>
  </si>
  <si>
    <t>UKURAN</t>
  </si>
  <si>
    <t>JML</t>
  </si>
  <si>
    <t>TOREN</t>
  </si>
  <si>
    <t>Liter</t>
  </si>
  <si>
    <t>KOMPRESOR</t>
  </si>
  <si>
    <t>Angin</t>
  </si>
  <si>
    <t>Shampoo</t>
  </si>
  <si>
    <t>MESIN VAKUM</t>
  </si>
  <si>
    <t>Standar</t>
  </si>
  <si>
    <t>MESIN ROBOTIC</t>
  </si>
  <si>
    <t>FLY EAGLE</t>
  </si>
  <si>
    <t>FS 40000</t>
  </si>
  <si>
    <t>MESIN PARKIR</t>
  </si>
  <si>
    <t>Watt</t>
  </si>
  <si>
    <t>MIsubishi</t>
  </si>
  <si>
    <t>2 PK</t>
  </si>
  <si>
    <t>Daikin</t>
  </si>
  <si>
    <t>1 PK</t>
  </si>
  <si>
    <t>KULKAS</t>
  </si>
  <si>
    <t>Supplier</t>
  </si>
  <si>
    <t>GreenTea</t>
  </si>
  <si>
    <t>OutLet</t>
  </si>
  <si>
    <t>Teh Botol</t>
  </si>
  <si>
    <t>MONITOR KASIR</t>
  </si>
  <si>
    <t>AMPLI</t>
  </si>
  <si>
    <t>SPEAKER</t>
  </si>
  <si>
    <t>KOMPUTER KASIR</t>
  </si>
  <si>
    <t>BANGKU</t>
  </si>
  <si>
    <t>Outdor</t>
  </si>
  <si>
    <t>Bulat</t>
  </si>
  <si>
    <t>Indoor</t>
  </si>
  <si>
    <t>Panjang</t>
  </si>
  <si>
    <t>Besi</t>
  </si>
  <si>
    <t>Robotik</t>
  </si>
  <si>
    <t xml:space="preserve">Besi </t>
  </si>
  <si>
    <t>NEON SIGN</t>
  </si>
  <si>
    <t>MEJA</t>
  </si>
  <si>
    <t>TV</t>
  </si>
  <si>
    <t>TCL</t>
  </si>
  <si>
    <t>32 inch</t>
  </si>
  <si>
    <t>BANGKU PLASTIK</t>
  </si>
  <si>
    <t>RAK CUBE</t>
  </si>
  <si>
    <t>Set</t>
  </si>
  <si>
    <t>SEMPROTAN ANGIN</t>
  </si>
  <si>
    <t>TABUNG SHAMPOO</t>
  </si>
  <si>
    <t>MESIN AIR</t>
  </si>
  <si>
    <t>Shimitsu</t>
  </si>
  <si>
    <t>PS 230</t>
  </si>
  <si>
    <t>Maspion</t>
  </si>
  <si>
    <t>G. TOTAL</t>
  </si>
  <si>
    <t>AGUSTUS 2026</t>
  </si>
  <si>
    <t>ASSET DATA TERBARU YELLOW PIK2</t>
  </si>
  <si>
    <t>BANYAK BARANG</t>
  </si>
  <si>
    <t>AREA CASIER</t>
  </si>
  <si>
    <t>MEJA CASIER DALAM</t>
  </si>
  <si>
    <t xml:space="preserve"> PCS</t>
  </si>
  <si>
    <t xml:space="preserve">BANGKU CASIER DALAM </t>
  </si>
  <si>
    <t>BANGKU HITAM CASIER DALAM</t>
  </si>
  <si>
    <t>BANGKU CASIER LUAR BESAR</t>
  </si>
  <si>
    <t>BANGKU CASIER LUAR KECIL</t>
  </si>
  <si>
    <t>FREZER MINUMAN</t>
  </si>
  <si>
    <t>PCS</t>
  </si>
  <si>
    <t>FREEZER ES KRIM</t>
  </si>
  <si>
    <t>MESIN PRINT</t>
  </si>
  <si>
    <t xml:space="preserve">MESIN SCANT CUBE </t>
  </si>
  <si>
    <t>MONITIR CCTV</t>
  </si>
  <si>
    <t xml:space="preserve">MONITOR KOMPUTERDAN CPU </t>
  </si>
  <si>
    <t>RAH HOKAIDO</t>
  </si>
  <si>
    <t xml:space="preserve">RAK OTOGART </t>
  </si>
  <si>
    <t xml:space="preserve">AC </t>
  </si>
  <si>
    <t xml:space="preserve"> SET</t>
  </si>
  <si>
    <t xml:space="preserve">TONG SAMPAH KUNING BESAR </t>
  </si>
  <si>
    <t>TONG SAMPAH ABU2 SEDANG PENGERINGAN</t>
  </si>
  <si>
    <t>TONG SAMPAH HITAM ROKOK</t>
  </si>
  <si>
    <t xml:space="preserve">TONG SAMPAH KAMAR MANDI </t>
  </si>
  <si>
    <t>BANGKU ROBOTIK</t>
  </si>
  <si>
    <t xml:space="preserve">BANGKU TANGGA </t>
  </si>
  <si>
    <t>TANGGA BESAR</t>
  </si>
  <si>
    <t xml:space="preserve">KOMPRESSOR </t>
  </si>
  <si>
    <t xml:space="preserve">MESIN ROBOTIK </t>
  </si>
  <si>
    <t xml:space="preserve">FAKUM </t>
  </si>
  <si>
    <t>EMBER KECIL ORANGE</t>
  </si>
  <si>
    <t xml:space="preserve">GUN ANGIN PENGERINGAN </t>
  </si>
  <si>
    <t>TABUNG SAMPO</t>
  </si>
  <si>
    <t>KIPAS ANGIN PENGERING MICROFIBER</t>
  </si>
  <si>
    <t>BLOWER ANGIN</t>
  </si>
  <si>
    <t xml:space="preserve">SELANG STIM </t>
  </si>
  <si>
    <t xml:space="preserve">SELANG KOLONGAN </t>
  </si>
  <si>
    <t>MESIN AIR GRONFOS</t>
  </si>
  <si>
    <t>4PCS [1 BELOM DI PAKAI]</t>
  </si>
  <si>
    <t>MESIN POMPA SEDOT AIR</t>
  </si>
  <si>
    <t>MESIN POMPA AIR</t>
  </si>
  <si>
    <t>TABUNG BIG WASH</t>
  </si>
  <si>
    <t>MESIN ABSENSI CLOKSTER</t>
  </si>
  <si>
    <t xml:space="preserve">MICRIFUBER BESAR </t>
  </si>
  <si>
    <t>MICROFIBER KECIL HITAM</t>
  </si>
  <si>
    <t>MEJA MICRIFIBER</t>
  </si>
  <si>
    <t>BAK MICRIFIBER</t>
  </si>
  <si>
    <t>2 PCS [RUSAK]</t>
  </si>
  <si>
    <t>MESIN FOGING</t>
  </si>
  <si>
    <t>MESIN EDC BCA</t>
  </si>
  <si>
    <t>TOREN BESAR</t>
  </si>
  <si>
    <t xml:space="preserve">TOREN KECIL </t>
  </si>
  <si>
    <t>KAMERA CCTV AKTIV</t>
  </si>
  <si>
    <t>LOGO LOLIPOP YELLOW</t>
  </si>
  <si>
    <t>LOGO YELLOW CASIER</t>
  </si>
  <si>
    <t>LAMPU LOGO SUDAH TIDAK BULAT LAGI</t>
  </si>
  <si>
    <t>TOTAL ASET</t>
  </si>
  <si>
    <t>mesin sanyo</t>
  </si>
  <si>
    <t>tabung shampo</t>
  </si>
  <si>
    <t>selang angin</t>
  </si>
  <si>
    <t>tembakan angin</t>
  </si>
  <si>
    <t>kepala stim</t>
  </si>
  <si>
    <t>Torren besar</t>
  </si>
  <si>
    <t xml:space="preserve">Torren kecil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</si>
</sst>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&quot;Rp&quot;* #,##0_);_(&quot;Rp&quot;* \(#,##0\);_(&quot;Rp&quot;* &quot;-&quot;_);_(@_)"/>
    <numFmt numFmtId="166" formatCode="#,##0_ "/>
  </numFmts>
  <fonts count="3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20"/>
      <name val="Calibri"/>
      <family val="2"/>
      <scheme val="minor"/>
    </font>
    <font>
      <sz val="11"/>
      <color indexed="8"/>
      <name val="Calibri"/>
      <family val="2"/>
    </font>
    <font>
      <sz val="20"/>
      <color indexed="8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15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i/>
      <sz val="14"/>
      <color indexed="8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1"/>
      <name val="Calibri"/>
      <scheme val="minor"/>
    </font>
    <font>
      <b/>
      <sz val="14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맑은 고딕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4" fillId="0" borderId="0">
      <alignment vertical="center"/>
    </xf>
    <xf numFmtId="0" fontId="13" fillId="0" borderId="0"/>
    <xf numFmtId="0" fontId="15" fillId="0" borderId="0"/>
    <xf numFmtId="43" fontId="22" fillId="0" borderId="0" applyFont="0" applyFill="0" applyBorder="0" applyAlignment="0" applyProtection="0"/>
    <xf numFmtId="0" fontId="2" fillId="0" borderId="0">
      <alignment vertical="center"/>
    </xf>
    <xf numFmtId="0" fontId="27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0" borderId="0" xfId="2"/>
    <xf numFmtId="0" fontId="1" fillId="0" borderId="0" xfId="2" applyFont="1" applyAlignment="1">
      <alignment horizontal="center"/>
    </xf>
    <xf numFmtId="0" fontId="1" fillId="0" borderId="0" xfId="2" applyFont="1"/>
    <xf numFmtId="0" fontId="2" fillId="0" borderId="1" xfId="2" applyBorder="1" applyAlignment="1">
      <alignment horizontal="center"/>
    </xf>
    <xf numFmtId="0" fontId="2" fillId="0" borderId="1" xfId="2" applyBorder="1"/>
    <xf numFmtId="0" fontId="2" fillId="3" borderId="1" xfId="2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0" fillId="0" borderId="1" xfId="0" applyBorder="1" applyAlignment="1">
      <alignment horizontal="left"/>
    </xf>
    <xf numFmtId="0" fontId="4" fillId="0" borderId="0" xfId="3">
      <alignment vertical="center"/>
    </xf>
    <xf numFmtId="0" fontId="6" fillId="4" borderId="0" xfId="3" applyFont="1" applyFill="1" applyAlignment="1">
      <alignment horizontal="center" vertical="center" wrapText="1"/>
    </xf>
    <xf numFmtId="0" fontId="7" fillId="0" borderId="3" xfId="3" applyFont="1" applyBorder="1" applyAlignment="1">
      <alignment horizontal="center"/>
    </xf>
    <xf numFmtId="0" fontId="7" fillId="0" borderId="3" xfId="3" applyFont="1" applyBorder="1" applyAlignment="1"/>
    <xf numFmtId="0" fontId="8" fillId="5" borderId="3" xfId="3" applyFont="1" applyFill="1" applyBorder="1" applyAlignment="1">
      <alignment horizontal="center"/>
    </xf>
    <xf numFmtId="0" fontId="9" fillId="5" borderId="3" xfId="3" applyFont="1" applyFill="1" applyBorder="1" applyAlignment="1"/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3" fillId="0" borderId="0" xfId="4"/>
    <xf numFmtId="0" fontId="6" fillId="4" borderId="0" xfId="4" applyFont="1" applyFill="1" applyAlignment="1">
      <alignment horizontal="center" vertical="center" wrapText="1"/>
    </xf>
    <xf numFmtId="0" fontId="7" fillId="0" borderId="3" xfId="4" applyFont="1" applyBorder="1" applyAlignment="1">
      <alignment horizontal="center"/>
    </xf>
    <xf numFmtId="0" fontId="7" fillId="0" borderId="3" xfId="4" applyFont="1" applyBorder="1"/>
    <xf numFmtId="0" fontId="8" fillId="5" borderId="3" xfId="4" applyFont="1" applyFill="1" applyBorder="1" applyAlignment="1">
      <alignment horizontal="center"/>
    </xf>
    <xf numFmtId="0" fontId="13" fillId="5" borderId="3" xfId="4" applyFill="1" applyBorder="1"/>
    <xf numFmtId="0" fontId="14" fillId="0" borderId="0" xfId="1" applyNumberFormat="1" applyFont="1" applyAlignment="1">
      <alignment horizontal="left" vertical="center"/>
    </xf>
    <xf numFmtId="164" fontId="14" fillId="0" borderId="0" xfId="1" applyNumberFormat="1" applyFont="1" applyAlignment="1">
      <alignment vertical="center"/>
    </xf>
    <xf numFmtId="0" fontId="16" fillId="0" borderId="0" xfId="5" applyFont="1" applyAlignment="1">
      <alignment horizontal="left" vertical="center"/>
    </xf>
    <xf numFmtId="165" fontId="16" fillId="0" borderId="0" xfId="5" applyNumberFormat="1" applyFont="1" applyAlignment="1">
      <alignment vertical="center"/>
    </xf>
    <xf numFmtId="0" fontId="16" fillId="6" borderId="0" xfId="5" applyFont="1" applyFill="1" applyAlignment="1">
      <alignment vertical="center"/>
    </xf>
    <xf numFmtId="0" fontId="17" fillId="6" borderId="0" xfId="5" applyFont="1" applyFill="1" applyAlignment="1">
      <alignment horizontal="center" vertical="center"/>
    </xf>
    <xf numFmtId="0" fontId="16" fillId="0" borderId="0" xfId="5" applyFont="1" applyAlignment="1">
      <alignment vertical="center"/>
    </xf>
    <xf numFmtId="0" fontId="19" fillId="6" borderId="0" xfId="5" applyFont="1" applyFill="1" applyAlignment="1">
      <alignment vertical="center"/>
    </xf>
    <xf numFmtId="0" fontId="20" fillId="6" borderId="0" xfId="5" applyFont="1" applyFill="1" applyAlignment="1">
      <alignment horizontal="center" vertical="center"/>
    </xf>
    <xf numFmtId="0" fontId="19" fillId="0" borderId="0" xfId="5" applyFont="1" applyAlignment="1">
      <alignment vertical="center"/>
    </xf>
    <xf numFmtId="165" fontId="19" fillId="0" borderId="0" xfId="5" applyNumberFormat="1" applyFont="1" applyAlignment="1">
      <alignment vertical="center"/>
    </xf>
    <xf numFmtId="0" fontId="21" fillId="0" borderId="0" xfId="5" applyFont="1" applyAlignment="1">
      <alignment vertical="center"/>
    </xf>
    <xf numFmtId="0" fontId="20" fillId="0" borderId="0" xfId="5" applyFont="1" applyAlignment="1">
      <alignment horizontal="center" vertical="center"/>
    </xf>
    <xf numFmtId="0" fontId="21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 vertical="center"/>
    </xf>
    <xf numFmtId="0" fontId="21" fillId="0" borderId="1" xfId="6" applyNumberFormat="1" applyFont="1" applyFill="1" applyBorder="1" applyAlignment="1">
      <alignment horizontal="center" vertical="center"/>
    </xf>
    <xf numFmtId="0" fontId="19" fillId="0" borderId="1" xfId="5" applyFont="1" applyBorder="1" applyAlignment="1">
      <alignment horizontal="center" vertical="center"/>
    </xf>
    <xf numFmtId="165" fontId="21" fillId="0" borderId="1" xfId="5" applyNumberFormat="1" applyFont="1" applyBorder="1" applyAlignment="1">
      <alignment horizontal="center" vertical="center"/>
    </xf>
    <xf numFmtId="0" fontId="23" fillId="0" borderId="1" xfId="5" applyFont="1" applyBorder="1" applyAlignment="1">
      <alignment horizontal="center" vertical="center"/>
    </xf>
    <xf numFmtId="0" fontId="23" fillId="0" borderId="1" xfId="5" applyFont="1" applyBorder="1" applyAlignment="1">
      <alignment horizontal="left" vertical="center"/>
    </xf>
    <xf numFmtId="0" fontId="21" fillId="0" borderId="1" xfId="5" quotePrefix="1" applyFont="1" applyBorder="1" applyAlignment="1">
      <alignment horizontal="center" vertical="center"/>
    </xf>
    <xf numFmtId="0" fontId="21" fillId="0" borderId="1" xfId="1" applyNumberFormat="1" applyFont="1" applyFill="1" applyBorder="1" applyAlignment="1">
      <alignment vertical="center"/>
    </xf>
    <xf numFmtId="165" fontId="19" fillId="6" borderId="0" xfId="5" applyNumberFormat="1" applyFont="1" applyFill="1" applyAlignment="1">
      <alignment vertical="center"/>
    </xf>
    <xf numFmtId="0" fontId="24" fillId="0" borderId="1" xfId="6" applyNumberFormat="1" applyFont="1" applyFill="1" applyBorder="1" applyAlignment="1">
      <alignment horizontal="center" vertical="center"/>
    </xf>
    <xf numFmtId="0" fontId="25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right" vertical="center"/>
    </xf>
    <xf numFmtId="0" fontId="18" fillId="2" borderId="1" xfId="5" applyFont="1" applyFill="1" applyBorder="1" applyAlignment="1">
      <alignment horizontal="center" vertical="center"/>
    </xf>
    <xf numFmtId="0" fontId="18" fillId="2" borderId="1" xfId="5" applyFont="1" applyFill="1" applyBorder="1" applyAlignment="1">
      <alignment horizontal="right" vertical="center"/>
    </xf>
    <xf numFmtId="0" fontId="18" fillId="2" borderId="1" xfId="6" applyNumberFormat="1" applyFont="1" applyFill="1" applyBorder="1" applyAlignment="1">
      <alignment horizontal="center" vertical="center"/>
    </xf>
    <xf numFmtId="0" fontId="26" fillId="2" borderId="1" xfId="5" applyFont="1" applyFill="1" applyBorder="1" applyAlignment="1">
      <alignment horizontal="center" vertical="center"/>
    </xf>
    <xf numFmtId="165" fontId="18" fillId="2" borderId="1" xfId="5" applyNumberFormat="1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0" xfId="5" applyFont="1" applyFill="1" applyAlignment="1">
      <alignment horizontal="right" vertical="center"/>
    </xf>
    <xf numFmtId="0" fontId="18" fillId="6" borderId="0" xfId="6" applyNumberFormat="1" applyFont="1" applyFill="1" applyBorder="1" applyAlignment="1">
      <alignment horizontal="center" vertical="center"/>
    </xf>
    <xf numFmtId="0" fontId="26" fillId="6" borderId="0" xfId="5" applyFont="1" applyFill="1" applyAlignment="1">
      <alignment horizontal="center" vertical="center"/>
    </xf>
    <xf numFmtId="165" fontId="18" fillId="6" borderId="0" xfId="5" applyNumberFormat="1" applyFont="1" applyFill="1" applyAlignment="1">
      <alignment horizontal="center" vertical="center"/>
    </xf>
    <xf numFmtId="0" fontId="23" fillId="6" borderId="0" xfId="5" applyFont="1" applyFill="1" applyAlignment="1">
      <alignment horizontal="center" vertical="center"/>
    </xf>
    <xf numFmtId="0" fontId="21" fillId="0" borderId="0" xfId="5" applyFont="1" applyAlignment="1">
      <alignment horizontal="right" vertical="center"/>
    </xf>
    <xf numFmtId="0" fontId="21" fillId="6" borderId="0" xfId="0" applyFont="1" applyFill="1" applyAlignment="1">
      <alignment vertical="center"/>
    </xf>
    <xf numFmtId="0" fontId="21" fillId="6" borderId="0" xfId="0" applyFont="1" applyFill="1" applyAlignment="1">
      <alignment horizontal="left" vertical="center"/>
    </xf>
    <xf numFmtId="165" fontId="23" fillId="6" borderId="0" xfId="5" applyNumberFormat="1" applyFont="1" applyFill="1" applyAlignment="1">
      <alignment horizontal="center" vertical="center"/>
    </xf>
    <xf numFmtId="0" fontId="19" fillId="0" borderId="0" xfId="5" applyFont="1" applyAlignment="1">
      <alignment horizontal="left" vertical="center"/>
    </xf>
    <xf numFmtId="165" fontId="19" fillId="0" borderId="0" xfId="5" applyNumberFormat="1" applyFont="1" applyAlignment="1">
      <alignment horizontal="center" vertical="center"/>
    </xf>
    <xf numFmtId="0" fontId="3" fillId="7" borderId="1" xfId="7" applyFont="1" applyFill="1" applyBorder="1" applyAlignment="1">
      <alignment horizontal="center" vertical="center"/>
    </xf>
    <xf numFmtId="0" fontId="2" fillId="0" borderId="0" xfId="7">
      <alignment vertical="center"/>
    </xf>
    <xf numFmtId="0" fontId="3" fillId="8" borderId="1" xfId="7" applyFont="1" applyFill="1" applyBorder="1" applyAlignment="1">
      <alignment horizontal="center" vertical="center"/>
    </xf>
    <xf numFmtId="0" fontId="2" fillId="9" borderId="1" xfId="7" applyFill="1" applyBorder="1" applyAlignment="1">
      <alignment horizontal="center" vertical="center"/>
    </xf>
    <xf numFmtId="0" fontId="2" fillId="9" borderId="1" xfId="7" applyFill="1" applyBorder="1">
      <alignment vertical="center"/>
    </xf>
    <xf numFmtId="0" fontId="2" fillId="0" borderId="1" xfId="7" applyBorder="1" applyAlignment="1">
      <alignment horizontal="center" vertical="center"/>
    </xf>
    <xf numFmtId="0" fontId="2" fillId="0" borderId="1" xfId="7" applyBorder="1">
      <alignment vertical="center"/>
    </xf>
    <xf numFmtId="0" fontId="2" fillId="0" borderId="0" xfId="7" applyAlignment="1">
      <alignment horizontal="center" vertical="center"/>
    </xf>
    <xf numFmtId="0" fontId="2" fillId="0" borderId="2" xfId="7" applyBorder="1" applyAlignment="1">
      <alignment horizontal="center" vertical="center"/>
    </xf>
    <xf numFmtId="0" fontId="2" fillId="0" borderId="2" xfId="7" applyBorder="1">
      <alignment vertical="center"/>
    </xf>
    <xf numFmtId="0" fontId="2" fillId="9" borderId="2" xfId="7" applyFill="1" applyBorder="1" applyAlignment="1">
      <alignment horizontal="center" vertical="center"/>
    </xf>
    <xf numFmtId="0" fontId="2" fillId="9" borderId="2" xfId="7" applyFill="1" applyBorder="1">
      <alignment vertical="center"/>
    </xf>
    <xf numFmtId="0" fontId="2" fillId="10" borderId="1" xfId="7" applyFill="1" applyBorder="1" applyAlignment="1">
      <alignment horizontal="center" vertical="center"/>
    </xf>
    <xf numFmtId="0" fontId="2" fillId="10" borderId="1" xfId="7" applyFill="1" applyBorder="1">
      <alignment vertical="center"/>
    </xf>
    <xf numFmtId="0" fontId="28" fillId="0" borderId="0" xfId="8" applyFont="1" applyAlignment="1">
      <alignment vertical="center"/>
    </xf>
    <xf numFmtId="0" fontId="29" fillId="0" borderId="0" xfId="8" applyFont="1" applyAlignment="1">
      <alignment vertical="center"/>
    </xf>
    <xf numFmtId="166" fontId="29" fillId="0" borderId="0" xfId="8" applyNumberFormat="1" applyFont="1" applyAlignment="1">
      <alignment vertical="center"/>
    </xf>
    <xf numFmtId="0" fontId="27" fillId="0" borderId="0" xfId="8" applyAlignment="1">
      <alignment vertical="center"/>
    </xf>
    <xf numFmtId="0" fontId="30" fillId="0" borderId="21" xfId="8" applyFont="1" applyBorder="1" applyAlignment="1">
      <alignment horizontal="center" vertical="center"/>
    </xf>
    <xf numFmtId="0" fontId="30" fillId="0" borderId="22" xfId="8" applyFont="1" applyBorder="1" applyAlignment="1">
      <alignment horizontal="center" vertical="center"/>
    </xf>
    <xf numFmtId="166" fontId="30" fillId="0" borderId="23" xfId="8" applyNumberFormat="1" applyFont="1" applyBorder="1" applyAlignment="1">
      <alignment horizontal="center" vertical="top"/>
    </xf>
    <xf numFmtId="3" fontId="29" fillId="0" borderId="23" xfId="8" applyNumberFormat="1" applyFont="1" applyBorder="1" applyAlignment="1">
      <alignment horizontal="center" vertical="center"/>
    </xf>
    <xf numFmtId="166" fontId="29" fillId="0" borderId="23" xfId="8" applyNumberFormat="1" applyFont="1" applyBorder="1" applyAlignment="1">
      <alignment vertical="top"/>
    </xf>
    <xf numFmtId="0" fontId="29" fillId="0" borderId="23" xfId="8" applyFont="1" applyBorder="1" applyAlignment="1">
      <alignment horizontal="center" vertical="center"/>
    </xf>
    <xf numFmtId="0" fontId="29" fillId="0" borderId="28" xfId="8" applyFont="1" applyBorder="1" applyAlignment="1">
      <alignment horizontal="center" vertical="center"/>
    </xf>
    <xf numFmtId="0" fontId="29" fillId="0" borderId="23" xfId="8" applyFont="1" applyBorder="1" applyAlignment="1">
      <alignment horizontal="center" vertical="top"/>
    </xf>
    <xf numFmtId="0" fontId="29" fillId="0" borderId="23" xfId="8" applyFont="1" applyBorder="1" applyAlignment="1">
      <alignment vertical="top"/>
    </xf>
    <xf numFmtId="0" fontId="29" fillId="0" borderId="28" xfId="8" applyFont="1" applyBorder="1" applyAlignment="1">
      <alignment horizontal="center" vertical="top"/>
    </xf>
    <xf numFmtId="0" fontId="29" fillId="0" borderId="31" xfId="8" applyFont="1" applyBorder="1" applyAlignment="1">
      <alignment vertical="top"/>
    </xf>
    <xf numFmtId="166" fontId="29" fillId="0" borderId="23" xfId="8" applyNumberFormat="1" applyFont="1" applyBorder="1" applyAlignment="1">
      <alignment vertical="top" wrapText="1"/>
    </xf>
    <xf numFmtId="0" fontId="30" fillId="0" borderId="23" xfId="8" applyFont="1" applyBorder="1" applyAlignment="1">
      <alignment vertical="top"/>
    </xf>
    <xf numFmtId="0" fontId="30" fillId="0" borderId="28" xfId="8" applyFont="1" applyBorder="1" applyAlignment="1">
      <alignment vertical="top"/>
    </xf>
    <xf numFmtId="166" fontId="30" fillId="0" borderId="23" xfId="8" applyNumberFormat="1" applyFont="1" applyBorder="1" applyAlignment="1">
      <alignment vertical="top"/>
    </xf>
    <xf numFmtId="0" fontId="29" fillId="0" borderId="22" xfId="8" applyFont="1" applyBorder="1" applyAlignment="1">
      <alignment horizontal="center" vertical="center"/>
    </xf>
    <xf numFmtId="0" fontId="31" fillId="0" borderId="27" xfId="8" applyFont="1" applyBorder="1" applyAlignment="1">
      <alignment vertical="center"/>
    </xf>
    <xf numFmtId="0" fontId="29" fillId="0" borderId="29" xfId="8" applyFont="1" applyBorder="1" applyAlignment="1">
      <alignment horizontal="center" vertical="center"/>
    </xf>
    <xf numFmtId="0" fontId="31" fillId="0" borderId="30" xfId="8" applyFont="1" applyBorder="1" applyAlignment="1">
      <alignment vertical="center"/>
    </xf>
    <xf numFmtId="0" fontId="31" fillId="0" borderId="25" xfId="8" applyFont="1" applyBorder="1" applyAlignment="1">
      <alignment vertical="center"/>
    </xf>
    <xf numFmtId="0" fontId="31" fillId="0" borderId="32" xfId="8" applyFont="1" applyBorder="1" applyAlignment="1">
      <alignment vertical="center"/>
    </xf>
    <xf numFmtId="0" fontId="30" fillId="0" borderId="28" xfId="8" applyFont="1" applyBorder="1" applyAlignment="1">
      <alignment horizontal="center" vertical="top"/>
    </xf>
    <xf numFmtId="0" fontId="31" fillId="0" borderId="31" xfId="8" applyFont="1" applyBorder="1" applyAlignment="1">
      <alignment vertical="center"/>
    </xf>
    <xf numFmtId="0" fontId="29" fillId="0" borderId="21" xfId="8" applyFont="1" applyBorder="1" applyAlignment="1">
      <alignment horizontal="center" vertical="center"/>
    </xf>
    <xf numFmtId="0" fontId="31" fillId="0" borderId="24" xfId="8" applyFont="1" applyBorder="1" applyAlignment="1">
      <alignment vertical="center"/>
    </xf>
    <xf numFmtId="0" fontId="31" fillId="0" borderId="26" xfId="8" applyFont="1" applyBorder="1" applyAlignment="1">
      <alignment vertical="center"/>
    </xf>
    <xf numFmtId="0" fontId="2" fillId="3" borderId="1" xfId="2" applyFill="1" applyBorder="1" applyAlignment="1">
      <alignment horizontal="center"/>
    </xf>
    <xf numFmtId="0" fontId="2" fillId="0" borderId="1" xfId="2" applyBorder="1" applyAlignment="1">
      <alignment horizontal="left"/>
    </xf>
    <xf numFmtId="0" fontId="2" fillId="0" borderId="1" xfId="2" applyBorder="1" applyAlignment="1">
      <alignment horizontal="center"/>
    </xf>
    <xf numFmtId="0" fontId="5" fillId="0" borderId="0" xfId="4" applyFont="1" applyAlignment="1">
      <alignment horizontal="center" vertical="center"/>
    </xf>
    <xf numFmtId="0" fontId="8" fillId="5" borderId="3" xfId="4" applyFont="1" applyFill="1" applyBorder="1" applyAlignment="1">
      <alignment horizontal="right"/>
    </xf>
    <xf numFmtId="0" fontId="3" fillId="10" borderId="1" xfId="7" applyFont="1" applyFill="1" applyBorder="1" applyAlignment="1">
      <alignment horizontal="center" vertical="center"/>
    </xf>
    <xf numFmtId="0" fontId="3" fillId="8" borderId="1" xfId="7" applyFont="1" applyFill="1" applyBorder="1" applyAlignment="1">
      <alignment horizontal="center" vertical="center"/>
    </xf>
    <xf numFmtId="0" fontId="3" fillId="7" borderId="1" xfId="7" applyFont="1" applyFill="1" applyBorder="1" applyAlignment="1">
      <alignment horizontal="center" vertical="center"/>
    </xf>
    <xf numFmtId="0" fontId="18" fillId="2" borderId="2" xfId="5" applyFont="1" applyFill="1" applyBorder="1" applyAlignment="1">
      <alignment horizontal="center" vertical="center"/>
    </xf>
    <xf numFmtId="0" fontId="18" fillId="2" borderId="18" xfId="5" applyFont="1" applyFill="1" applyBorder="1" applyAlignment="1">
      <alignment horizontal="center" vertical="center"/>
    </xf>
    <xf numFmtId="0" fontId="18" fillId="2" borderId="2" xfId="1" applyNumberFormat="1" applyFont="1" applyFill="1" applyBorder="1" applyAlignment="1">
      <alignment horizontal="center" vertical="center"/>
    </xf>
    <xf numFmtId="0" fontId="18" fillId="2" borderId="18" xfId="1" applyNumberFormat="1" applyFont="1" applyFill="1" applyBorder="1" applyAlignment="1">
      <alignment horizontal="center" vertical="center"/>
    </xf>
    <xf numFmtId="0" fontId="18" fillId="2" borderId="16" xfId="1" applyNumberFormat="1" applyFont="1" applyFill="1" applyBorder="1" applyAlignment="1">
      <alignment horizontal="center" vertical="center"/>
    </xf>
    <xf numFmtId="0" fontId="18" fillId="2" borderId="17" xfId="1" applyNumberFormat="1" applyFont="1" applyFill="1" applyBorder="1" applyAlignment="1">
      <alignment horizontal="center" vertical="center"/>
    </xf>
    <xf numFmtId="0" fontId="18" fillId="2" borderId="19" xfId="1" applyNumberFormat="1" applyFont="1" applyFill="1" applyBorder="1" applyAlignment="1">
      <alignment horizontal="center" vertical="center"/>
    </xf>
    <xf numFmtId="0" fontId="18" fillId="2" borderId="20" xfId="1" applyNumberFormat="1" applyFont="1" applyFill="1" applyBorder="1" applyAlignment="1">
      <alignment horizontal="center" vertical="center"/>
    </xf>
    <xf numFmtId="165" fontId="18" fillId="2" borderId="2" xfId="5" applyNumberFormat="1" applyFont="1" applyFill="1" applyBorder="1" applyAlignment="1">
      <alignment horizontal="center" vertical="center"/>
    </xf>
    <xf numFmtId="165" fontId="18" fillId="2" borderId="18" xfId="5" applyNumberFormat="1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5" borderId="3" xfId="3" applyFont="1" applyFill="1" applyBorder="1" applyAlignment="1">
      <alignment horizontal="right"/>
    </xf>
    <xf numFmtId="0" fontId="10" fillId="2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2" fillId="0" borderId="0" xfId="4" applyFont="1" applyAlignment="1">
      <alignment horizontal="center" vertical="center"/>
    </xf>
    <xf numFmtId="0" fontId="33" fillId="4" borderId="0" xfId="4" applyFont="1" applyFill="1" applyAlignment="1">
      <alignment horizontal="center" vertical="center" wrapText="1"/>
    </xf>
    <xf numFmtId="0" fontId="34" fillId="0" borderId="3" xfId="4" applyFont="1" applyBorder="1" applyAlignment="1">
      <alignment horizontal="center"/>
    </xf>
    <xf numFmtId="0" fontId="34" fillId="0" borderId="3" xfId="4" applyFont="1" applyBorder="1"/>
    <xf numFmtId="0" fontId="35" fillId="5" borderId="3" xfId="4" applyFont="1" applyFill="1" applyBorder="1" applyAlignment="1">
      <alignment horizontal="right"/>
    </xf>
    <xf numFmtId="0" fontId="35" fillId="5" borderId="3" xfId="4" applyFont="1" applyFill="1" applyBorder="1" applyAlignment="1">
      <alignment horizontal="center"/>
    </xf>
  </cellXfs>
  <cellStyles count="9">
    <cellStyle name="Comma" xfId="1" builtinId="3"/>
    <cellStyle name="Comma 3 2 2 2" xfId="6" xr:uid="{32454D17-2B50-4712-AE5E-B887D555E2AF}"/>
    <cellStyle name="Normal" xfId="0" builtinId="0"/>
    <cellStyle name="Normal 17" xfId="2" xr:uid="{F2281D99-7017-408C-92F6-283A76B2291B}"/>
    <cellStyle name="Normal 2" xfId="3" xr:uid="{B1F92D2A-2B4C-4D1C-95AA-C59C01EB54B0}"/>
    <cellStyle name="Normal 2 6" xfId="5" xr:uid="{1F17AE00-B2E4-4F28-BAF9-AE694A3175B0}"/>
    <cellStyle name="Normal 3" xfId="4" xr:uid="{A2B56029-0D2E-42E8-B275-4EDF616D3623}"/>
    <cellStyle name="Normal 4" xfId="7" xr:uid="{716212E3-1325-479D-90C3-7D5C9B5EB20F}"/>
    <cellStyle name="Normal 5" xfId="8" xr:uid="{2C1C244A-AB5A-44A8-866B-C0130A56D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B0DB-8469-4380-AAC8-DA43EBF7A94C}">
  <dimension ref="A1:E100"/>
  <sheetViews>
    <sheetView topLeftCell="A22" workbookViewId="0">
      <selection activeCell="K17" sqref="K17:L17"/>
    </sheetView>
  </sheetViews>
  <sheetFormatPr defaultColWidth="15.7265625" defaultRowHeight="15" customHeight="1"/>
  <cols>
    <col min="1" max="1" width="4" style="102" customWidth="1"/>
    <col min="2" max="2" width="19.1796875" style="102" customWidth="1"/>
    <col min="3" max="3" width="9.6328125" style="102" customWidth="1"/>
    <col min="4" max="4" width="7.90625" style="102" customWidth="1"/>
    <col min="5" max="5" width="6.81640625" style="102" customWidth="1"/>
    <col min="6" max="11" width="9.453125" style="102" customWidth="1"/>
    <col min="12" max="16384" width="15.7265625" style="102"/>
  </cols>
  <sheetData>
    <row r="1" spans="1:5" ht="14.25" customHeight="1">
      <c r="A1" s="99" t="s">
        <v>637</v>
      </c>
      <c r="B1" s="100"/>
      <c r="C1" s="100"/>
      <c r="D1" s="100"/>
      <c r="E1" s="101"/>
    </row>
    <row r="2" spans="1:5" ht="14.25" customHeight="1">
      <c r="A2" s="99" t="s">
        <v>638</v>
      </c>
      <c r="B2" s="100"/>
      <c r="C2" s="100"/>
      <c r="D2" s="100"/>
      <c r="E2" s="101"/>
    </row>
    <row r="3" spans="1:5" ht="14.25" customHeight="1" thickBot="1">
      <c r="A3" s="100"/>
      <c r="B3" s="100"/>
      <c r="C3" s="100"/>
      <c r="D3" s="100"/>
      <c r="E3" s="101"/>
    </row>
    <row r="4" spans="1:5" ht="15" customHeight="1" thickBot="1">
      <c r="A4" s="103" t="s">
        <v>34</v>
      </c>
      <c r="B4" s="103" t="s">
        <v>639</v>
      </c>
      <c r="C4" s="103" t="s">
        <v>640</v>
      </c>
      <c r="D4" s="104" t="s">
        <v>641</v>
      </c>
      <c r="E4" s="105" t="s">
        <v>642</v>
      </c>
    </row>
    <row r="5" spans="1:5" ht="15" customHeight="1" thickBot="1">
      <c r="A5" s="126">
        <v>1</v>
      </c>
      <c r="B5" s="126" t="s">
        <v>643</v>
      </c>
      <c r="C5" s="106">
        <v>8000</v>
      </c>
      <c r="D5" s="118" t="s">
        <v>644</v>
      </c>
      <c r="E5" s="107">
        <v>2</v>
      </c>
    </row>
    <row r="6" spans="1:5" ht="15" customHeight="1" thickBot="1">
      <c r="A6" s="127"/>
      <c r="B6" s="127"/>
      <c r="C6" s="106">
        <v>2000</v>
      </c>
      <c r="D6" s="122"/>
      <c r="E6" s="107">
        <v>1</v>
      </c>
    </row>
    <row r="7" spans="1:5" ht="15" customHeight="1" thickBot="1">
      <c r="A7" s="128"/>
      <c r="B7" s="128"/>
      <c r="C7" s="106">
        <v>1000</v>
      </c>
      <c r="D7" s="119"/>
      <c r="E7" s="107">
        <v>1</v>
      </c>
    </row>
    <row r="8" spans="1:5" ht="15" customHeight="1" thickBot="1">
      <c r="A8" s="126">
        <v>2</v>
      </c>
      <c r="B8" s="126" t="s">
        <v>645</v>
      </c>
      <c r="C8" s="108" t="s">
        <v>646</v>
      </c>
      <c r="D8" s="109">
        <v>100</v>
      </c>
      <c r="E8" s="107">
        <v>1</v>
      </c>
    </row>
    <row r="9" spans="1:5" ht="15" customHeight="1" thickBot="1">
      <c r="A9" s="127"/>
      <c r="B9" s="127"/>
      <c r="C9" s="108" t="s">
        <v>647</v>
      </c>
      <c r="D9" s="109">
        <v>100</v>
      </c>
      <c r="E9" s="107">
        <v>1</v>
      </c>
    </row>
    <row r="10" spans="1:5" ht="15" customHeight="1" thickBot="1">
      <c r="A10" s="128"/>
      <c r="B10" s="128"/>
      <c r="C10" s="108" t="s">
        <v>311</v>
      </c>
      <c r="D10" s="109">
        <v>105</v>
      </c>
      <c r="E10" s="107">
        <v>1</v>
      </c>
    </row>
    <row r="11" spans="1:5" ht="14.25" customHeight="1" thickBot="1">
      <c r="A11" s="110">
        <v>3</v>
      </c>
      <c r="B11" s="111" t="s">
        <v>648</v>
      </c>
      <c r="C11" s="108"/>
      <c r="D11" s="109" t="s">
        <v>649</v>
      </c>
      <c r="E11" s="107">
        <v>4</v>
      </c>
    </row>
    <row r="12" spans="1:5" ht="14.25" customHeight="1" thickBot="1">
      <c r="A12" s="110">
        <v>4</v>
      </c>
      <c r="B12" s="111" t="s">
        <v>650</v>
      </c>
      <c r="C12" s="108"/>
      <c r="D12" s="109"/>
      <c r="E12" s="107">
        <v>2</v>
      </c>
    </row>
    <row r="13" spans="1:5" ht="14.25" customHeight="1" thickBot="1">
      <c r="A13" s="110">
        <v>5</v>
      </c>
      <c r="B13" s="111" t="s">
        <v>7</v>
      </c>
      <c r="C13" s="108" t="s">
        <v>651</v>
      </c>
      <c r="D13" s="109" t="s">
        <v>652</v>
      </c>
      <c r="E13" s="107">
        <v>1</v>
      </c>
    </row>
    <row r="14" spans="1:5" ht="14.25" customHeight="1" thickBot="1">
      <c r="A14" s="110">
        <v>6</v>
      </c>
      <c r="B14" s="111" t="s">
        <v>653</v>
      </c>
      <c r="C14" s="108"/>
      <c r="D14" s="109"/>
      <c r="E14" s="107">
        <v>1</v>
      </c>
    </row>
    <row r="15" spans="1:5" ht="14.25" customHeight="1" thickBot="1">
      <c r="A15" s="110">
        <v>7</v>
      </c>
      <c r="B15" s="111" t="s">
        <v>28</v>
      </c>
      <c r="C15" s="108">
        <v>900</v>
      </c>
      <c r="D15" s="109" t="s">
        <v>654</v>
      </c>
      <c r="E15" s="107">
        <v>1</v>
      </c>
    </row>
    <row r="16" spans="1:5" ht="15" customHeight="1" thickBot="1">
      <c r="A16" s="126">
        <v>8</v>
      </c>
      <c r="B16" s="126" t="s">
        <v>50</v>
      </c>
      <c r="C16" s="108" t="s">
        <v>655</v>
      </c>
      <c r="D16" s="109" t="s">
        <v>656</v>
      </c>
      <c r="E16" s="107">
        <v>1</v>
      </c>
    </row>
    <row r="17" spans="1:5" ht="15" customHeight="1" thickBot="1">
      <c r="A17" s="128"/>
      <c r="B17" s="128"/>
      <c r="C17" s="108" t="s">
        <v>657</v>
      </c>
      <c r="D17" s="109" t="s">
        <v>658</v>
      </c>
      <c r="E17" s="107">
        <v>1</v>
      </c>
    </row>
    <row r="18" spans="1:5" ht="15" customHeight="1" thickBot="1">
      <c r="A18" s="118">
        <v>9</v>
      </c>
      <c r="B18" s="120" t="s">
        <v>659</v>
      </c>
      <c r="C18" s="108" t="s">
        <v>660</v>
      </c>
      <c r="D18" s="109" t="s">
        <v>661</v>
      </c>
      <c r="E18" s="107">
        <v>1</v>
      </c>
    </row>
    <row r="19" spans="1:5" ht="15" customHeight="1" thickBot="1">
      <c r="A19" s="119"/>
      <c r="B19" s="121"/>
      <c r="C19" s="108" t="s">
        <v>662</v>
      </c>
      <c r="D19" s="109" t="s">
        <v>663</v>
      </c>
      <c r="E19" s="107">
        <v>1</v>
      </c>
    </row>
    <row r="20" spans="1:5" ht="14.25" customHeight="1" thickBot="1">
      <c r="A20" s="112">
        <v>10</v>
      </c>
      <c r="B20" s="113" t="s">
        <v>58</v>
      </c>
      <c r="C20" s="108"/>
      <c r="D20" s="109"/>
      <c r="E20" s="107">
        <v>8</v>
      </c>
    </row>
    <row r="21" spans="1:5" ht="14.25" customHeight="1" thickBot="1">
      <c r="A21" s="112">
        <v>11</v>
      </c>
      <c r="B21" s="113" t="s">
        <v>61</v>
      </c>
      <c r="C21" s="108"/>
      <c r="D21" s="109"/>
      <c r="E21" s="107">
        <v>1</v>
      </c>
    </row>
    <row r="22" spans="1:5" ht="14.25" customHeight="1" thickBot="1">
      <c r="A22" s="112">
        <v>12</v>
      </c>
      <c r="B22" s="113" t="s">
        <v>664</v>
      </c>
      <c r="C22" s="108"/>
      <c r="D22" s="109"/>
      <c r="E22" s="114">
        <v>1</v>
      </c>
    </row>
    <row r="23" spans="1:5" ht="14.25" customHeight="1" thickBot="1">
      <c r="A23" s="112">
        <v>13</v>
      </c>
      <c r="B23" s="113" t="s">
        <v>665</v>
      </c>
      <c r="C23" s="108"/>
      <c r="D23" s="109"/>
      <c r="E23" s="107">
        <v>1</v>
      </c>
    </row>
    <row r="24" spans="1:5" ht="14.25" customHeight="1" thickBot="1">
      <c r="A24" s="112">
        <v>14</v>
      </c>
      <c r="B24" s="113" t="s">
        <v>666</v>
      </c>
      <c r="C24" s="108"/>
      <c r="D24" s="109"/>
      <c r="E24" s="107">
        <v>3</v>
      </c>
    </row>
    <row r="25" spans="1:5" ht="14.25" customHeight="1" thickBot="1">
      <c r="A25" s="112">
        <v>15</v>
      </c>
      <c r="B25" s="113" t="s">
        <v>667</v>
      </c>
      <c r="C25" s="108"/>
      <c r="D25" s="109"/>
      <c r="E25" s="107">
        <v>1</v>
      </c>
    </row>
    <row r="26" spans="1:5" ht="15" customHeight="1" thickBot="1">
      <c r="A26" s="118">
        <v>16</v>
      </c>
      <c r="B26" s="120" t="s">
        <v>668</v>
      </c>
      <c r="C26" s="108" t="s">
        <v>669</v>
      </c>
      <c r="D26" s="109" t="s">
        <v>670</v>
      </c>
      <c r="E26" s="107">
        <v>6</v>
      </c>
    </row>
    <row r="27" spans="1:5" ht="15" customHeight="1" thickBot="1">
      <c r="A27" s="122"/>
      <c r="B27" s="123"/>
      <c r="C27" s="108" t="s">
        <v>671</v>
      </c>
      <c r="D27" s="109" t="s">
        <v>672</v>
      </c>
      <c r="E27" s="107">
        <v>2</v>
      </c>
    </row>
    <row r="28" spans="1:5" ht="15" customHeight="1" thickBot="1">
      <c r="A28" s="122"/>
      <c r="B28" s="123"/>
      <c r="C28" s="108"/>
      <c r="D28" s="109" t="s">
        <v>673</v>
      </c>
      <c r="E28" s="107">
        <v>16</v>
      </c>
    </row>
    <row r="29" spans="1:5" ht="15" customHeight="1" thickBot="1">
      <c r="A29" s="119"/>
      <c r="B29" s="121"/>
      <c r="C29" s="108" t="s">
        <v>674</v>
      </c>
      <c r="D29" s="109" t="s">
        <v>675</v>
      </c>
      <c r="E29" s="107">
        <v>2</v>
      </c>
    </row>
    <row r="30" spans="1:5" ht="14.25" customHeight="1" thickBot="1">
      <c r="A30" s="112">
        <v>17</v>
      </c>
      <c r="B30" s="113" t="s">
        <v>676</v>
      </c>
      <c r="C30" s="108"/>
      <c r="D30" s="109"/>
      <c r="E30" s="107">
        <v>2</v>
      </c>
    </row>
    <row r="31" spans="1:5" ht="14.25" customHeight="1" thickBot="1">
      <c r="A31" s="112">
        <v>18</v>
      </c>
      <c r="B31" s="113" t="s">
        <v>677</v>
      </c>
      <c r="C31" s="108"/>
      <c r="D31" s="109"/>
      <c r="E31" s="107">
        <v>5</v>
      </c>
    </row>
    <row r="32" spans="1:5" ht="14.25" customHeight="1" thickBot="1">
      <c r="A32" s="112">
        <v>19</v>
      </c>
      <c r="B32" s="113" t="s">
        <v>678</v>
      </c>
      <c r="C32" s="108" t="s">
        <v>679</v>
      </c>
      <c r="D32" s="109" t="s">
        <v>680</v>
      </c>
      <c r="E32" s="107">
        <v>1</v>
      </c>
    </row>
    <row r="33" spans="1:5" ht="14.25" customHeight="1" thickBot="1">
      <c r="A33" s="112">
        <v>20</v>
      </c>
      <c r="B33" s="113" t="s">
        <v>27</v>
      </c>
      <c r="C33" s="108"/>
      <c r="D33" s="109"/>
      <c r="E33" s="107">
        <v>9</v>
      </c>
    </row>
    <row r="34" spans="1:5" ht="14.25" customHeight="1" thickBot="1">
      <c r="A34" s="112">
        <v>21</v>
      </c>
      <c r="B34" s="113" t="s">
        <v>681</v>
      </c>
      <c r="C34" s="108"/>
      <c r="D34" s="109"/>
      <c r="E34" s="107">
        <v>9</v>
      </c>
    </row>
    <row r="35" spans="1:5" ht="14.25" customHeight="1" thickBot="1">
      <c r="A35" s="112">
        <v>22</v>
      </c>
      <c r="B35" s="113" t="s">
        <v>682</v>
      </c>
      <c r="C35" s="108"/>
      <c r="D35" s="109" t="s">
        <v>683</v>
      </c>
      <c r="E35" s="107">
        <v>3</v>
      </c>
    </row>
    <row r="36" spans="1:5" ht="14.25" customHeight="1" thickBot="1">
      <c r="A36" s="112">
        <v>23</v>
      </c>
      <c r="B36" s="113" t="s">
        <v>684</v>
      </c>
      <c r="C36" s="108"/>
      <c r="D36" s="109" t="s">
        <v>94</v>
      </c>
      <c r="E36" s="107">
        <v>4</v>
      </c>
    </row>
    <row r="37" spans="1:5" ht="14.25" customHeight="1" thickBot="1">
      <c r="A37" s="112">
        <v>24</v>
      </c>
      <c r="B37" s="113" t="s">
        <v>685</v>
      </c>
      <c r="C37" s="108"/>
      <c r="D37" s="109" t="s">
        <v>94</v>
      </c>
      <c r="E37" s="107">
        <v>2</v>
      </c>
    </row>
    <row r="38" spans="1:5" ht="14.25" customHeight="1" thickBot="1">
      <c r="A38" s="112">
        <v>25</v>
      </c>
      <c r="B38" s="113" t="s">
        <v>686</v>
      </c>
      <c r="C38" s="108" t="s">
        <v>687</v>
      </c>
      <c r="D38" s="109" t="s">
        <v>688</v>
      </c>
      <c r="E38" s="107">
        <v>3</v>
      </c>
    </row>
    <row r="39" spans="1:5" ht="16.5" customHeight="1" thickBot="1">
      <c r="A39" s="112">
        <v>26</v>
      </c>
      <c r="B39" s="113" t="s">
        <v>9</v>
      </c>
      <c r="C39" s="108" t="s">
        <v>689</v>
      </c>
      <c r="D39" s="109"/>
      <c r="E39" s="107">
        <v>2</v>
      </c>
    </row>
    <row r="40" spans="1:5" ht="14.25" customHeight="1" thickBot="1">
      <c r="A40" s="112">
        <v>27</v>
      </c>
      <c r="B40" s="113" t="s">
        <v>676</v>
      </c>
      <c r="C40" s="108"/>
      <c r="D40" s="109"/>
      <c r="E40" s="107">
        <v>2</v>
      </c>
    </row>
    <row r="41" spans="1:5" ht="14.25" customHeight="1" thickBot="1">
      <c r="A41" s="124" t="s">
        <v>690</v>
      </c>
      <c r="B41" s="125"/>
      <c r="C41" s="115"/>
      <c r="D41" s="116"/>
      <c r="E41" s="117">
        <f>SUM(E5:E39)</f>
        <v>101</v>
      </c>
    </row>
    <row r="42" spans="1:5" ht="15" customHeight="1">
      <c r="A42" s="100"/>
      <c r="B42" s="100"/>
      <c r="C42" s="100"/>
      <c r="D42" s="100"/>
      <c r="E42" s="101"/>
    </row>
    <row r="43" spans="1:5" ht="15" customHeight="1">
      <c r="A43" s="100"/>
      <c r="B43" s="100"/>
      <c r="C43" s="100"/>
      <c r="D43" s="100"/>
      <c r="E43" s="101"/>
    </row>
    <row r="44" spans="1:5" ht="14.25" customHeight="1">
      <c r="A44" s="100"/>
      <c r="B44" s="100"/>
      <c r="C44" s="100"/>
      <c r="D44" s="100"/>
      <c r="E44" s="101"/>
    </row>
    <row r="45" spans="1:5" ht="14.25" customHeight="1">
      <c r="A45" s="100"/>
      <c r="B45" s="100"/>
      <c r="C45" s="100"/>
      <c r="D45" s="100"/>
      <c r="E45" s="101"/>
    </row>
    <row r="46" spans="1:5" ht="14.25" customHeight="1">
      <c r="A46" s="100"/>
      <c r="B46" s="100"/>
      <c r="C46" s="100"/>
      <c r="D46" s="100"/>
      <c r="E46" s="101"/>
    </row>
    <row r="47" spans="1:5" ht="14.25" customHeight="1">
      <c r="A47" s="100"/>
      <c r="B47" s="100"/>
      <c r="C47" s="100"/>
      <c r="D47" s="100"/>
      <c r="E47" s="101"/>
    </row>
    <row r="48" spans="1:5" ht="14.25" customHeight="1">
      <c r="A48" s="100"/>
      <c r="B48" s="100"/>
      <c r="C48" s="100"/>
      <c r="D48" s="100"/>
      <c r="E48" s="101"/>
    </row>
    <row r="49" spans="1:5" ht="14.25" customHeight="1">
      <c r="A49" s="100"/>
      <c r="B49" s="100"/>
      <c r="C49" s="100"/>
      <c r="D49" s="100"/>
      <c r="E49" s="101"/>
    </row>
    <row r="50" spans="1:5" ht="14.25" customHeight="1">
      <c r="A50" s="100"/>
      <c r="B50" s="100"/>
      <c r="C50" s="100"/>
      <c r="D50" s="100"/>
      <c r="E50" s="101"/>
    </row>
    <row r="51" spans="1:5" ht="14.25" customHeight="1">
      <c r="A51" s="100"/>
      <c r="B51" s="100"/>
      <c r="C51" s="100"/>
      <c r="D51" s="100"/>
      <c r="E51" s="101"/>
    </row>
    <row r="52" spans="1:5" ht="14.25" customHeight="1">
      <c r="A52" s="100"/>
      <c r="B52" s="100"/>
      <c r="C52" s="100"/>
      <c r="D52" s="100"/>
      <c r="E52" s="101"/>
    </row>
    <row r="53" spans="1:5" ht="14.25" customHeight="1">
      <c r="A53" s="100"/>
      <c r="B53" s="100"/>
      <c r="C53" s="100"/>
      <c r="D53" s="100"/>
      <c r="E53" s="101"/>
    </row>
    <row r="54" spans="1:5" ht="14.25" customHeight="1">
      <c r="A54" s="100"/>
      <c r="B54" s="100"/>
      <c r="C54" s="100"/>
      <c r="D54" s="100"/>
      <c r="E54" s="101"/>
    </row>
    <row r="55" spans="1:5" ht="14.25" customHeight="1">
      <c r="A55" s="100"/>
      <c r="B55" s="100"/>
      <c r="C55" s="100"/>
      <c r="D55" s="100"/>
      <c r="E55" s="101"/>
    </row>
    <row r="56" spans="1:5" ht="14.25" customHeight="1">
      <c r="A56" s="100"/>
      <c r="B56" s="100"/>
      <c r="C56" s="100"/>
      <c r="D56" s="100"/>
      <c r="E56" s="101"/>
    </row>
    <row r="57" spans="1:5" ht="14.25" customHeight="1">
      <c r="A57" s="100"/>
      <c r="B57" s="100"/>
      <c r="C57" s="100"/>
      <c r="D57" s="100"/>
      <c r="E57" s="101"/>
    </row>
    <row r="58" spans="1:5" ht="14.25" customHeight="1">
      <c r="A58" s="100"/>
      <c r="B58" s="100"/>
      <c r="C58" s="100"/>
      <c r="D58" s="100"/>
      <c r="E58" s="101"/>
    </row>
    <row r="59" spans="1:5" ht="14.25" customHeight="1">
      <c r="A59" s="100"/>
      <c r="B59" s="100"/>
      <c r="C59" s="100"/>
      <c r="D59" s="100"/>
      <c r="E59" s="101"/>
    </row>
    <row r="60" spans="1:5" ht="14.25" customHeight="1">
      <c r="A60" s="100"/>
      <c r="B60" s="100"/>
      <c r="C60" s="100"/>
      <c r="D60" s="100"/>
      <c r="E60" s="101"/>
    </row>
    <row r="61" spans="1:5" ht="14.25" customHeight="1">
      <c r="A61" s="100"/>
      <c r="B61" s="100"/>
      <c r="C61" s="100"/>
      <c r="D61" s="100"/>
      <c r="E61" s="101"/>
    </row>
    <row r="62" spans="1:5" ht="14.25" customHeight="1">
      <c r="A62" s="100"/>
      <c r="B62" s="100"/>
      <c r="C62" s="100"/>
      <c r="D62" s="100"/>
      <c r="E62" s="101"/>
    </row>
    <row r="63" spans="1:5" ht="14.25" customHeight="1">
      <c r="A63" s="100"/>
      <c r="B63" s="100"/>
      <c r="C63" s="100"/>
      <c r="D63" s="100"/>
      <c r="E63" s="101"/>
    </row>
    <row r="64" spans="1:5" ht="14.25" customHeight="1">
      <c r="A64" s="100"/>
      <c r="B64" s="100"/>
      <c r="C64" s="100"/>
      <c r="D64" s="100"/>
      <c r="E64" s="101"/>
    </row>
    <row r="65" spans="1:5" ht="14.25" customHeight="1">
      <c r="A65" s="100"/>
      <c r="B65" s="100"/>
      <c r="C65" s="100"/>
      <c r="D65" s="100"/>
      <c r="E65" s="101"/>
    </row>
    <row r="66" spans="1:5" ht="14.25" customHeight="1">
      <c r="A66" s="100"/>
      <c r="B66" s="100"/>
      <c r="C66" s="100"/>
      <c r="D66" s="100"/>
      <c r="E66" s="101"/>
    </row>
    <row r="67" spans="1:5" ht="14.25" customHeight="1">
      <c r="A67" s="100"/>
      <c r="B67" s="100"/>
      <c r="C67" s="100"/>
      <c r="D67" s="100"/>
      <c r="E67" s="101"/>
    </row>
    <row r="68" spans="1:5" ht="14.25" customHeight="1">
      <c r="A68" s="100"/>
      <c r="B68" s="100"/>
      <c r="C68" s="100"/>
      <c r="D68" s="100"/>
      <c r="E68" s="101"/>
    </row>
    <row r="69" spans="1:5" ht="14.25" customHeight="1">
      <c r="A69" s="100"/>
      <c r="B69" s="100"/>
      <c r="C69" s="100"/>
      <c r="D69" s="100"/>
      <c r="E69" s="101"/>
    </row>
    <row r="70" spans="1:5" ht="14.25" customHeight="1">
      <c r="A70" s="100"/>
      <c r="B70" s="100"/>
      <c r="C70" s="100"/>
      <c r="D70" s="100"/>
      <c r="E70" s="101"/>
    </row>
    <row r="71" spans="1:5" ht="14.25" customHeight="1">
      <c r="A71" s="100"/>
      <c r="B71" s="100"/>
      <c r="C71" s="100"/>
      <c r="D71" s="100"/>
      <c r="E71" s="101"/>
    </row>
    <row r="72" spans="1:5" ht="14.25" customHeight="1">
      <c r="A72" s="100"/>
      <c r="B72" s="100"/>
      <c r="C72" s="100"/>
      <c r="D72" s="100"/>
      <c r="E72" s="101"/>
    </row>
    <row r="73" spans="1:5" ht="14.25" customHeight="1">
      <c r="A73" s="100"/>
      <c r="B73" s="100"/>
      <c r="C73" s="100"/>
      <c r="D73" s="100"/>
      <c r="E73" s="101"/>
    </row>
    <row r="74" spans="1:5" ht="14.25" customHeight="1">
      <c r="A74" s="100"/>
      <c r="B74" s="100"/>
      <c r="C74" s="100"/>
      <c r="D74" s="100"/>
      <c r="E74" s="101"/>
    </row>
    <row r="75" spans="1:5" ht="14.25" customHeight="1">
      <c r="A75" s="100"/>
      <c r="B75" s="100"/>
      <c r="C75" s="100"/>
      <c r="D75" s="100"/>
      <c r="E75" s="101"/>
    </row>
    <row r="76" spans="1:5" ht="14.25" customHeight="1">
      <c r="A76" s="100"/>
      <c r="B76" s="100"/>
      <c r="C76" s="100"/>
      <c r="D76" s="100"/>
      <c r="E76" s="101"/>
    </row>
    <row r="77" spans="1:5" ht="14.25" customHeight="1">
      <c r="A77" s="100"/>
      <c r="B77" s="100"/>
      <c r="C77" s="100"/>
      <c r="D77" s="100"/>
      <c r="E77" s="101"/>
    </row>
    <row r="78" spans="1:5" ht="14.25" customHeight="1">
      <c r="A78" s="100"/>
      <c r="B78" s="100"/>
      <c r="C78" s="100"/>
      <c r="D78" s="100"/>
      <c r="E78" s="101"/>
    </row>
    <row r="79" spans="1:5" ht="14.25" customHeight="1">
      <c r="A79" s="100"/>
      <c r="B79" s="100"/>
      <c r="C79" s="100"/>
      <c r="D79" s="100"/>
      <c r="E79" s="101"/>
    </row>
    <row r="80" spans="1:5" ht="14.25" customHeight="1">
      <c r="A80" s="100"/>
      <c r="B80" s="100"/>
      <c r="C80" s="100"/>
      <c r="D80" s="100"/>
      <c r="E80" s="101"/>
    </row>
    <row r="81" spans="1:5" ht="14.25" customHeight="1">
      <c r="A81" s="100"/>
      <c r="B81" s="100"/>
      <c r="C81" s="100"/>
      <c r="D81" s="100"/>
      <c r="E81" s="101"/>
    </row>
    <row r="82" spans="1:5" ht="14.25" customHeight="1">
      <c r="A82" s="100"/>
      <c r="B82" s="100"/>
      <c r="C82" s="100"/>
      <c r="D82" s="100"/>
      <c r="E82" s="101"/>
    </row>
    <row r="83" spans="1:5" ht="14.25" customHeight="1">
      <c r="A83" s="100"/>
      <c r="B83" s="100"/>
      <c r="C83" s="100"/>
      <c r="D83" s="100"/>
      <c r="E83" s="101"/>
    </row>
    <row r="84" spans="1:5" ht="14.25" customHeight="1">
      <c r="A84" s="100"/>
      <c r="B84" s="100"/>
      <c r="C84" s="100"/>
      <c r="D84" s="100"/>
      <c r="E84" s="101"/>
    </row>
    <row r="85" spans="1:5" ht="14.25" customHeight="1">
      <c r="A85" s="100"/>
      <c r="B85" s="100"/>
      <c r="C85" s="100"/>
      <c r="D85" s="100"/>
      <c r="E85" s="101"/>
    </row>
    <row r="86" spans="1:5" ht="14.25" customHeight="1">
      <c r="A86" s="100"/>
      <c r="B86" s="100"/>
      <c r="C86" s="100"/>
      <c r="D86" s="100"/>
      <c r="E86" s="101"/>
    </row>
    <row r="87" spans="1:5" ht="14.25" customHeight="1">
      <c r="A87" s="100"/>
      <c r="B87" s="100"/>
      <c r="C87" s="100"/>
      <c r="D87" s="100"/>
      <c r="E87" s="101"/>
    </row>
    <row r="88" spans="1:5" ht="14.25" customHeight="1">
      <c r="A88" s="100"/>
      <c r="B88" s="100"/>
      <c r="C88" s="100"/>
      <c r="D88" s="100"/>
      <c r="E88" s="101"/>
    </row>
    <row r="89" spans="1:5" ht="14.25" customHeight="1">
      <c r="A89" s="100"/>
      <c r="B89" s="100"/>
      <c r="C89" s="100"/>
      <c r="D89" s="100"/>
      <c r="E89" s="101"/>
    </row>
    <row r="90" spans="1:5" ht="14.25" customHeight="1">
      <c r="A90" s="100"/>
      <c r="B90" s="100"/>
      <c r="C90" s="100"/>
      <c r="D90" s="100"/>
      <c r="E90" s="101"/>
    </row>
    <row r="91" spans="1:5" ht="14.25" customHeight="1">
      <c r="A91" s="100"/>
      <c r="B91" s="100"/>
      <c r="C91" s="100"/>
      <c r="D91" s="100"/>
      <c r="E91" s="101"/>
    </row>
    <row r="92" spans="1:5" ht="14.25" customHeight="1">
      <c r="A92" s="100"/>
      <c r="B92" s="100"/>
      <c r="C92" s="100"/>
      <c r="D92" s="100"/>
      <c r="E92" s="101"/>
    </row>
    <row r="93" spans="1:5" ht="14.25" customHeight="1">
      <c r="A93" s="100"/>
      <c r="B93" s="100"/>
      <c r="C93" s="100"/>
      <c r="D93" s="100"/>
      <c r="E93" s="101"/>
    </row>
    <row r="94" spans="1:5" ht="14.25" customHeight="1">
      <c r="A94" s="100"/>
      <c r="B94" s="100"/>
      <c r="C94" s="100"/>
      <c r="D94" s="100"/>
      <c r="E94" s="101"/>
    </row>
    <row r="95" spans="1:5" ht="14.25" customHeight="1">
      <c r="A95" s="100"/>
      <c r="B95" s="100"/>
      <c r="C95" s="100"/>
      <c r="D95" s="100"/>
      <c r="E95" s="101"/>
    </row>
    <row r="96" spans="1:5" ht="14.25" customHeight="1">
      <c r="A96" s="100"/>
      <c r="B96" s="100"/>
      <c r="C96" s="100"/>
      <c r="D96" s="100"/>
      <c r="E96" s="101"/>
    </row>
    <row r="97" spans="1:5" ht="14.25" customHeight="1">
      <c r="A97" s="100"/>
      <c r="B97" s="100"/>
      <c r="C97" s="100"/>
      <c r="D97" s="100"/>
      <c r="E97" s="101"/>
    </row>
    <row r="98" spans="1:5" ht="14.25" customHeight="1">
      <c r="A98" s="100"/>
      <c r="B98" s="100"/>
      <c r="C98" s="100"/>
      <c r="D98" s="100"/>
      <c r="E98" s="101"/>
    </row>
    <row r="99" spans="1:5" ht="14.25" customHeight="1">
      <c r="A99" s="100"/>
      <c r="B99" s="100"/>
      <c r="C99" s="100"/>
      <c r="D99" s="100"/>
      <c r="E99" s="101"/>
    </row>
    <row r="100" spans="1:5" ht="14.25" customHeight="1">
      <c r="A100" s="100"/>
      <c r="B100" s="100"/>
      <c r="C100" s="100"/>
      <c r="D100" s="100"/>
      <c r="E100" s="101"/>
    </row>
  </sheetData>
  <mergeCells count="12">
    <mergeCell ref="A16:A17"/>
    <mergeCell ref="B16:B17"/>
    <mergeCell ref="A5:A7"/>
    <mergeCell ref="B5:B7"/>
    <mergeCell ref="D5:D7"/>
    <mergeCell ref="A8:A10"/>
    <mergeCell ref="B8:B10"/>
    <mergeCell ref="A18:A19"/>
    <mergeCell ref="B18:B19"/>
    <mergeCell ref="A26:A29"/>
    <mergeCell ref="B26:B29"/>
    <mergeCell ref="A41:B4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11E7-D095-453E-9D1C-279B549683A6}">
  <dimension ref="A1:G34"/>
  <sheetViews>
    <sheetView workbookViewId="0">
      <selection activeCell="P12" sqref="P12"/>
    </sheetView>
  </sheetViews>
  <sheetFormatPr defaultRowHeight="14.5"/>
  <cols>
    <col min="1" max="16384" width="8.7265625" style="6"/>
  </cols>
  <sheetData>
    <row r="1" spans="1:7">
      <c r="A1" s="6" t="s">
        <v>0</v>
      </c>
    </row>
    <row r="2" spans="1:7">
      <c r="A2" s="11" t="s">
        <v>34</v>
      </c>
      <c r="B2" s="129" t="s">
        <v>1</v>
      </c>
      <c r="C2" s="129"/>
      <c r="D2" s="129"/>
      <c r="E2" s="129"/>
      <c r="F2" s="129"/>
      <c r="G2" s="11" t="s">
        <v>2</v>
      </c>
    </row>
    <row r="3" spans="1:7">
      <c r="A3" s="10">
        <v>1</v>
      </c>
      <c r="B3" s="130" t="s">
        <v>3</v>
      </c>
      <c r="C3" s="130"/>
      <c r="D3" s="130"/>
      <c r="E3" s="130"/>
      <c r="F3" s="130"/>
      <c r="G3" s="9">
        <v>2</v>
      </c>
    </row>
    <row r="4" spans="1:7">
      <c r="A4" s="10">
        <v>2</v>
      </c>
      <c r="B4" s="130" t="s">
        <v>4</v>
      </c>
      <c r="C4" s="130"/>
      <c r="D4" s="130"/>
      <c r="E4" s="130"/>
      <c r="F4" s="130"/>
      <c r="G4" s="9">
        <v>2</v>
      </c>
    </row>
    <row r="5" spans="1:7">
      <c r="A5" s="10">
        <v>3</v>
      </c>
      <c r="B5" s="130" t="s">
        <v>5</v>
      </c>
      <c r="C5" s="130"/>
      <c r="D5" s="130"/>
      <c r="E5" s="130"/>
      <c r="F5" s="130"/>
      <c r="G5" s="9">
        <v>2</v>
      </c>
    </row>
    <row r="6" spans="1:7">
      <c r="A6" s="10">
        <v>4</v>
      </c>
      <c r="B6" s="130" t="s">
        <v>6</v>
      </c>
      <c r="C6" s="130"/>
      <c r="D6" s="130"/>
      <c r="E6" s="130"/>
      <c r="F6" s="130"/>
      <c r="G6" s="9">
        <v>1</v>
      </c>
    </row>
    <row r="7" spans="1:7">
      <c r="A7" s="10">
        <v>5</v>
      </c>
      <c r="B7" s="130" t="s">
        <v>7</v>
      </c>
      <c r="C7" s="130"/>
      <c r="D7" s="130"/>
      <c r="E7" s="130"/>
      <c r="F7" s="130"/>
      <c r="G7" s="9">
        <v>1</v>
      </c>
    </row>
    <row r="8" spans="1:7">
      <c r="A8" s="10">
        <v>6</v>
      </c>
      <c r="B8" s="130" t="s">
        <v>8</v>
      </c>
      <c r="C8" s="130"/>
      <c r="D8" s="130"/>
      <c r="E8" s="130"/>
      <c r="F8" s="130"/>
      <c r="G8" s="9">
        <v>2</v>
      </c>
    </row>
    <row r="9" spans="1:7">
      <c r="A9" s="10">
        <v>7</v>
      </c>
      <c r="B9" s="130" t="s">
        <v>9</v>
      </c>
      <c r="C9" s="130"/>
      <c r="D9" s="130"/>
      <c r="E9" s="130"/>
      <c r="F9" s="130"/>
      <c r="G9" s="9">
        <v>2</v>
      </c>
    </row>
    <row r="10" spans="1:7">
      <c r="A10" s="10">
        <v>8</v>
      </c>
      <c r="B10" s="130" t="s">
        <v>10</v>
      </c>
      <c r="C10" s="130"/>
      <c r="D10" s="130"/>
      <c r="E10" s="130"/>
      <c r="F10" s="130"/>
      <c r="G10" s="9">
        <v>3</v>
      </c>
    </row>
    <row r="11" spans="1:7">
      <c r="A11" s="10">
        <v>9</v>
      </c>
      <c r="B11" s="130" t="s">
        <v>11</v>
      </c>
      <c r="C11" s="130"/>
      <c r="D11" s="130"/>
      <c r="E11" s="130"/>
      <c r="F11" s="130"/>
      <c r="G11" s="9">
        <v>2</v>
      </c>
    </row>
    <row r="12" spans="1:7">
      <c r="A12" s="10">
        <v>10</v>
      </c>
      <c r="B12" s="130" t="s">
        <v>12</v>
      </c>
      <c r="C12" s="130"/>
      <c r="D12" s="130"/>
      <c r="E12" s="130"/>
      <c r="F12" s="130"/>
      <c r="G12" s="9">
        <v>2</v>
      </c>
    </row>
    <row r="13" spans="1:7">
      <c r="A13" s="10">
        <v>11</v>
      </c>
      <c r="B13" s="130" t="s">
        <v>13</v>
      </c>
      <c r="C13" s="130"/>
      <c r="D13" s="130"/>
      <c r="E13" s="130"/>
      <c r="F13" s="130"/>
      <c r="G13" s="9">
        <v>1</v>
      </c>
    </row>
    <row r="14" spans="1:7">
      <c r="A14" s="10">
        <v>12</v>
      </c>
      <c r="B14" s="130" t="s">
        <v>14</v>
      </c>
      <c r="C14" s="130"/>
      <c r="D14" s="130"/>
      <c r="E14" s="130"/>
      <c r="F14" s="130"/>
      <c r="G14" s="9">
        <v>2</v>
      </c>
    </row>
    <row r="15" spans="1:7">
      <c r="A15" s="10">
        <v>13</v>
      </c>
      <c r="B15" s="130" t="s">
        <v>15</v>
      </c>
      <c r="C15" s="130"/>
      <c r="D15" s="130"/>
      <c r="E15" s="130"/>
      <c r="F15" s="130"/>
      <c r="G15" s="9">
        <v>1</v>
      </c>
    </row>
    <row r="16" spans="1:7">
      <c r="A16" s="10">
        <v>14</v>
      </c>
      <c r="B16" s="130" t="s">
        <v>16</v>
      </c>
      <c r="C16" s="130"/>
      <c r="D16" s="130"/>
      <c r="E16" s="130"/>
      <c r="F16" s="130"/>
      <c r="G16" s="9">
        <v>1</v>
      </c>
    </row>
    <row r="17" spans="1:7">
      <c r="A17" s="10">
        <v>15</v>
      </c>
      <c r="B17" s="130" t="s">
        <v>17</v>
      </c>
      <c r="C17" s="130"/>
      <c r="D17" s="130"/>
      <c r="E17" s="130"/>
      <c r="F17" s="130"/>
      <c r="G17" s="9">
        <v>3</v>
      </c>
    </row>
    <row r="18" spans="1:7">
      <c r="A18" s="10">
        <v>16</v>
      </c>
      <c r="B18" s="130" t="s">
        <v>18</v>
      </c>
      <c r="C18" s="130"/>
      <c r="D18" s="130"/>
      <c r="E18" s="130"/>
      <c r="F18" s="130"/>
      <c r="G18" s="9">
        <v>1</v>
      </c>
    </row>
    <row r="19" spans="1:7">
      <c r="A19" s="10">
        <v>17</v>
      </c>
      <c r="B19" s="130" t="s">
        <v>19</v>
      </c>
      <c r="C19" s="130"/>
      <c r="D19" s="130"/>
      <c r="E19" s="130"/>
      <c r="F19" s="130"/>
      <c r="G19" s="9">
        <v>20</v>
      </c>
    </row>
    <row r="20" spans="1:7">
      <c r="A20" s="10">
        <v>18</v>
      </c>
      <c r="B20" s="130" t="s">
        <v>20</v>
      </c>
      <c r="C20" s="130"/>
      <c r="D20" s="130"/>
      <c r="E20" s="130"/>
      <c r="F20" s="130"/>
      <c r="G20" s="9">
        <v>9</v>
      </c>
    </row>
    <row r="21" spans="1:7">
      <c r="A21" s="10">
        <v>19</v>
      </c>
      <c r="B21" s="130" t="s">
        <v>21</v>
      </c>
      <c r="C21" s="130"/>
      <c r="D21" s="130"/>
      <c r="E21" s="130"/>
      <c r="F21" s="130"/>
      <c r="G21" s="9">
        <v>5</v>
      </c>
    </row>
    <row r="22" spans="1:7">
      <c r="A22" s="10">
        <v>20</v>
      </c>
      <c r="B22" s="130" t="s">
        <v>22</v>
      </c>
      <c r="C22" s="130"/>
      <c r="D22" s="130"/>
      <c r="E22" s="130"/>
      <c r="F22" s="130"/>
      <c r="G22" s="9">
        <v>2</v>
      </c>
    </row>
    <row r="23" spans="1:7">
      <c r="A23" s="10">
        <v>21</v>
      </c>
      <c r="B23" s="130" t="s">
        <v>23</v>
      </c>
      <c r="C23" s="130"/>
      <c r="D23" s="130"/>
      <c r="E23" s="130"/>
      <c r="F23" s="130"/>
      <c r="G23" s="9">
        <v>4</v>
      </c>
    </row>
    <row r="24" spans="1:7">
      <c r="A24" s="10">
        <v>22</v>
      </c>
      <c r="B24" s="130" t="s">
        <v>24</v>
      </c>
      <c r="C24" s="130"/>
      <c r="D24" s="130"/>
      <c r="E24" s="130"/>
      <c r="F24" s="130"/>
      <c r="G24" s="9">
        <v>9</v>
      </c>
    </row>
    <row r="25" spans="1:7">
      <c r="A25" s="10">
        <v>23</v>
      </c>
      <c r="B25" s="130" t="s">
        <v>25</v>
      </c>
      <c r="C25" s="130"/>
      <c r="D25" s="130"/>
      <c r="E25" s="130"/>
      <c r="F25" s="130"/>
      <c r="G25" s="9">
        <v>6</v>
      </c>
    </row>
    <row r="26" spans="1:7">
      <c r="A26" s="10">
        <v>24</v>
      </c>
      <c r="B26" s="130" t="s">
        <v>26</v>
      </c>
      <c r="C26" s="130"/>
      <c r="D26" s="130"/>
      <c r="E26" s="130"/>
      <c r="F26" s="130"/>
      <c r="G26" s="9">
        <v>8</v>
      </c>
    </row>
    <row r="27" spans="1:7">
      <c r="A27" s="10">
        <v>25</v>
      </c>
      <c r="B27" s="130" t="s">
        <v>27</v>
      </c>
      <c r="C27" s="130"/>
      <c r="D27" s="130"/>
      <c r="E27" s="130"/>
      <c r="F27" s="130"/>
      <c r="G27" s="9">
        <v>5</v>
      </c>
    </row>
    <row r="28" spans="1:7">
      <c r="A28" s="10">
        <v>26</v>
      </c>
      <c r="B28" s="130" t="s">
        <v>28</v>
      </c>
      <c r="C28" s="130"/>
      <c r="D28" s="130"/>
      <c r="E28" s="130"/>
      <c r="F28" s="130"/>
      <c r="G28" s="9">
        <v>1</v>
      </c>
    </row>
    <row r="29" spans="1:7">
      <c r="A29" s="10">
        <v>27</v>
      </c>
      <c r="B29" s="130" t="s">
        <v>29</v>
      </c>
      <c r="C29" s="130"/>
      <c r="D29" s="130"/>
      <c r="E29" s="130"/>
      <c r="F29" s="130"/>
      <c r="G29" s="9">
        <v>29</v>
      </c>
    </row>
    <row r="30" spans="1:7">
      <c r="A30" s="10">
        <v>28</v>
      </c>
      <c r="B30" s="130" t="s">
        <v>30</v>
      </c>
      <c r="C30" s="130"/>
      <c r="D30" s="130"/>
      <c r="E30" s="130"/>
      <c r="F30" s="130"/>
      <c r="G30" s="9">
        <v>11</v>
      </c>
    </row>
    <row r="31" spans="1:7">
      <c r="A31" s="10"/>
      <c r="B31" s="131"/>
      <c r="C31" s="131"/>
      <c r="D31" s="131"/>
      <c r="E31" s="131"/>
      <c r="F31" s="131"/>
      <c r="G31" s="9"/>
    </row>
    <row r="32" spans="1:7">
      <c r="B32" s="8" t="s">
        <v>33</v>
      </c>
      <c r="C32" s="8"/>
      <c r="D32" s="8"/>
      <c r="E32" s="8"/>
      <c r="F32" s="8"/>
      <c r="G32" s="7"/>
    </row>
    <row r="33" spans="2:7">
      <c r="B33" s="8" t="s">
        <v>31</v>
      </c>
      <c r="C33" s="8"/>
      <c r="D33" s="8"/>
      <c r="E33" s="8"/>
      <c r="F33" s="8"/>
      <c r="G33" s="7">
        <v>1</v>
      </c>
    </row>
    <row r="34" spans="2:7">
      <c r="B34" s="8" t="s">
        <v>32</v>
      </c>
      <c r="C34" s="8"/>
      <c r="D34" s="8"/>
      <c r="E34" s="8"/>
      <c r="F34" s="8"/>
      <c r="G34" s="7">
        <v>2</v>
      </c>
    </row>
  </sheetData>
  <mergeCells count="30">
    <mergeCell ref="B27:F27"/>
    <mergeCell ref="B28:F28"/>
    <mergeCell ref="B29:F29"/>
    <mergeCell ref="B30:F30"/>
    <mergeCell ref="B31:F31"/>
    <mergeCell ref="B22:F22"/>
    <mergeCell ref="B23:F23"/>
    <mergeCell ref="B24:F24"/>
    <mergeCell ref="B25:F25"/>
    <mergeCell ref="B26:F26"/>
    <mergeCell ref="B17:F17"/>
    <mergeCell ref="B18:F18"/>
    <mergeCell ref="B19:F19"/>
    <mergeCell ref="B20:F20"/>
    <mergeCell ref="B21:F21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2:F2"/>
    <mergeCell ref="B3:F3"/>
    <mergeCell ref="B4:F4"/>
    <mergeCell ref="B5:F5"/>
    <mergeCell ref="B6:F6"/>
  </mergeCells>
  <pageMargins left="0.7" right="0.7" top="0.75" bottom="0.75" header="0.3" footer="0.3"/>
  <pageSetup paperSize="2833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4BDB-CDB8-4B78-8DE7-D505A9F66312}">
  <dimension ref="A1:E59"/>
  <sheetViews>
    <sheetView zoomScaleNormal="100" workbookViewId="0">
      <pane ySplit="3" topLeftCell="A4" activePane="bottomLeft" state="frozen"/>
      <selection pane="bottomLeft" activeCell="F18" sqref="F18"/>
    </sheetView>
  </sheetViews>
  <sheetFormatPr defaultColWidth="8.6328125" defaultRowHeight="14.5"/>
  <cols>
    <col min="1" max="1" width="6" style="36" customWidth="1"/>
    <col min="2" max="2" width="30" style="36" customWidth="1"/>
    <col min="3" max="4" width="10" style="36" customWidth="1"/>
    <col min="5" max="5" width="24" style="36" customWidth="1"/>
    <col min="6" max="16384" width="8.6328125" style="36"/>
  </cols>
  <sheetData>
    <row r="1" spans="1:5" ht="24" customHeight="1">
      <c r="A1" s="132" t="s">
        <v>85</v>
      </c>
      <c r="B1" s="132"/>
      <c r="C1" s="132"/>
      <c r="D1" s="132"/>
      <c r="E1" s="132"/>
    </row>
    <row r="3" spans="1:5">
      <c r="A3" s="37" t="s">
        <v>88</v>
      </c>
      <c r="B3" s="37" t="s">
        <v>89</v>
      </c>
      <c r="C3" s="37" t="s">
        <v>90</v>
      </c>
      <c r="D3" s="37" t="s">
        <v>91</v>
      </c>
      <c r="E3" s="37" t="s">
        <v>92</v>
      </c>
    </row>
    <row r="4" spans="1:5">
      <c r="A4" s="38">
        <v>1</v>
      </c>
      <c r="B4" s="39" t="s">
        <v>271</v>
      </c>
      <c r="C4" s="38">
        <v>1</v>
      </c>
      <c r="D4" s="38" t="s">
        <v>94</v>
      </c>
      <c r="E4" s="39"/>
    </row>
    <row r="5" spans="1:5">
      <c r="A5" s="38">
        <v>2</v>
      </c>
      <c r="B5" s="39" t="s">
        <v>50</v>
      </c>
      <c r="C5" s="38">
        <v>4</v>
      </c>
      <c r="D5" s="38" t="s">
        <v>94</v>
      </c>
      <c r="E5" s="39" t="s">
        <v>272</v>
      </c>
    </row>
    <row r="6" spans="1:5">
      <c r="A6" s="38">
        <v>3</v>
      </c>
      <c r="B6" s="39" t="s">
        <v>273</v>
      </c>
      <c r="C6" s="38">
        <v>1</v>
      </c>
      <c r="D6" s="38" t="s">
        <v>94</v>
      </c>
      <c r="E6" s="39"/>
    </row>
    <row r="7" spans="1:5">
      <c r="A7" s="38">
        <v>4</v>
      </c>
      <c r="B7" s="39" t="s">
        <v>274</v>
      </c>
      <c r="C7" s="38">
        <v>1</v>
      </c>
      <c r="D7" s="38" t="s">
        <v>94</v>
      </c>
      <c r="E7" s="39"/>
    </row>
    <row r="8" spans="1:5">
      <c r="A8" s="38">
        <v>5</v>
      </c>
      <c r="B8" s="39" t="s">
        <v>275</v>
      </c>
      <c r="C8" s="38">
        <v>1</v>
      </c>
      <c r="D8" s="38" t="s">
        <v>94</v>
      </c>
      <c r="E8" s="39"/>
    </row>
    <row r="9" spans="1:5">
      <c r="A9" s="38">
        <v>6</v>
      </c>
      <c r="B9" s="39" t="s">
        <v>276</v>
      </c>
      <c r="C9" s="38">
        <v>1</v>
      </c>
      <c r="D9" s="38" t="s">
        <v>94</v>
      </c>
      <c r="E9" s="39"/>
    </row>
    <row r="10" spans="1:5">
      <c r="A10" s="38">
        <v>7</v>
      </c>
      <c r="B10" s="39" t="s">
        <v>277</v>
      </c>
      <c r="C10" s="38">
        <v>1</v>
      </c>
      <c r="D10" s="38" t="s">
        <v>94</v>
      </c>
      <c r="E10" s="39"/>
    </row>
    <row r="11" spans="1:5">
      <c r="A11" s="38">
        <v>8</v>
      </c>
      <c r="B11" s="39" t="s">
        <v>278</v>
      </c>
      <c r="C11" s="38">
        <v>8</v>
      </c>
      <c r="D11" s="38" t="s">
        <v>94</v>
      </c>
      <c r="E11" s="39"/>
    </row>
    <row r="12" spans="1:5">
      <c r="A12" s="38">
        <v>9</v>
      </c>
      <c r="B12" s="39" t="s">
        <v>279</v>
      </c>
      <c r="C12" s="38">
        <v>1</v>
      </c>
      <c r="D12" s="38" t="s">
        <v>94</v>
      </c>
      <c r="E12" s="39"/>
    </row>
    <row r="13" spans="1:5">
      <c r="A13" s="38">
        <v>10</v>
      </c>
      <c r="B13" s="39" t="s">
        <v>280</v>
      </c>
      <c r="C13" s="38">
        <v>1</v>
      </c>
      <c r="D13" s="38" t="s">
        <v>94</v>
      </c>
      <c r="E13" s="39" t="s">
        <v>281</v>
      </c>
    </row>
    <row r="14" spans="1:5">
      <c r="A14" s="38">
        <v>11</v>
      </c>
      <c r="B14" s="39" t="s">
        <v>282</v>
      </c>
      <c r="C14" s="38">
        <v>8</v>
      </c>
      <c r="D14" s="38" t="s">
        <v>94</v>
      </c>
      <c r="E14" s="39"/>
    </row>
    <row r="15" spans="1:5">
      <c r="A15" s="38">
        <v>12</v>
      </c>
      <c r="B15" s="39" t="s">
        <v>283</v>
      </c>
      <c r="C15" s="38">
        <v>1</v>
      </c>
      <c r="D15" s="38" t="s">
        <v>94</v>
      </c>
      <c r="E15" s="39"/>
    </row>
    <row r="16" spans="1:5">
      <c r="A16" s="38">
        <v>13</v>
      </c>
      <c r="B16" s="39" t="s">
        <v>284</v>
      </c>
      <c r="C16" s="38">
        <v>1</v>
      </c>
      <c r="D16" s="38" t="s">
        <v>94</v>
      </c>
      <c r="E16" s="39"/>
    </row>
    <row r="17" spans="1:5">
      <c r="A17" s="38">
        <v>14</v>
      </c>
      <c r="B17" s="39" t="s">
        <v>285</v>
      </c>
      <c r="C17" s="38">
        <v>1</v>
      </c>
      <c r="D17" s="38" t="s">
        <v>94</v>
      </c>
      <c r="E17" s="39"/>
    </row>
    <row r="18" spans="1:5">
      <c r="A18" s="38">
        <v>15</v>
      </c>
      <c r="B18" s="39" t="s">
        <v>286</v>
      </c>
      <c r="C18" s="38">
        <v>1</v>
      </c>
      <c r="D18" s="38" t="s">
        <v>94</v>
      </c>
      <c r="E18" s="39"/>
    </row>
    <row r="19" spans="1:5">
      <c r="A19" s="38">
        <v>16</v>
      </c>
      <c r="B19" s="39" t="s">
        <v>287</v>
      </c>
      <c r="C19" s="38">
        <v>6</v>
      </c>
      <c r="D19" s="38" t="s">
        <v>94</v>
      </c>
      <c r="E19" s="39"/>
    </row>
    <row r="20" spans="1:5">
      <c r="A20" s="38">
        <v>17</v>
      </c>
      <c r="B20" s="39" t="s">
        <v>288</v>
      </c>
      <c r="C20" s="38">
        <v>1</v>
      </c>
      <c r="D20" s="38" t="s">
        <v>94</v>
      </c>
      <c r="E20" s="39"/>
    </row>
    <row r="21" spans="1:5">
      <c r="A21" s="38">
        <v>18</v>
      </c>
      <c r="B21" s="39" t="s">
        <v>289</v>
      </c>
      <c r="C21" s="38">
        <v>1</v>
      </c>
      <c r="D21" s="38" t="s">
        <v>94</v>
      </c>
      <c r="E21" s="39"/>
    </row>
    <row r="22" spans="1:5">
      <c r="A22" s="38">
        <v>19</v>
      </c>
      <c r="B22" s="39" t="s">
        <v>290</v>
      </c>
      <c r="C22" s="38">
        <v>1</v>
      </c>
      <c r="D22" s="38" t="s">
        <v>94</v>
      </c>
      <c r="E22" s="39"/>
    </row>
    <row r="23" spans="1:5">
      <c r="A23" s="38">
        <v>20</v>
      </c>
      <c r="B23" s="39" t="s">
        <v>291</v>
      </c>
      <c r="C23" s="38">
        <v>1</v>
      </c>
      <c r="D23" s="38" t="s">
        <v>94</v>
      </c>
      <c r="E23" s="39"/>
    </row>
    <row r="24" spans="1:5">
      <c r="A24" s="38">
        <v>21</v>
      </c>
      <c r="B24" s="39" t="s">
        <v>116</v>
      </c>
      <c r="C24" s="38">
        <v>1</v>
      </c>
      <c r="D24" s="38" t="s">
        <v>94</v>
      </c>
      <c r="E24" s="39"/>
    </row>
    <row r="25" spans="1:5">
      <c r="A25" s="38">
        <v>22</v>
      </c>
      <c r="B25" s="39" t="s">
        <v>292</v>
      </c>
      <c r="C25" s="38">
        <v>1</v>
      </c>
      <c r="D25" s="38" t="s">
        <v>94</v>
      </c>
      <c r="E25" s="39"/>
    </row>
    <row r="26" spans="1:5">
      <c r="A26" s="38">
        <v>23</v>
      </c>
      <c r="B26" s="39" t="s">
        <v>293</v>
      </c>
      <c r="C26" s="38">
        <v>1</v>
      </c>
      <c r="D26" s="38" t="s">
        <v>94</v>
      </c>
      <c r="E26" s="39"/>
    </row>
    <row r="27" spans="1:5">
      <c r="A27" s="38">
        <v>24</v>
      </c>
      <c r="B27" s="39" t="s">
        <v>294</v>
      </c>
      <c r="C27" s="38">
        <v>3</v>
      </c>
      <c r="D27" s="38" t="s">
        <v>94</v>
      </c>
      <c r="E27" s="39"/>
    </row>
    <row r="28" spans="1:5">
      <c r="A28" s="38">
        <v>25</v>
      </c>
      <c r="B28" s="39" t="s">
        <v>295</v>
      </c>
      <c r="C28" s="38">
        <v>2</v>
      </c>
      <c r="D28" s="38" t="s">
        <v>94</v>
      </c>
      <c r="E28" s="39"/>
    </row>
    <row r="29" spans="1:5">
      <c r="A29" s="38">
        <v>26</v>
      </c>
      <c r="B29" s="39" t="s">
        <v>296</v>
      </c>
      <c r="C29" s="38">
        <v>1</v>
      </c>
      <c r="D29" s="38" t="s">
        <v>94</v>
      </c>
      <c r="E29" s="39"/>
    </row>
    <row r="30" spans="1:5">
      <c r="A30" s="38">
        <v>27</v>
      </c>
      <c r="B30" s="39" t="s">
        <v>297</v>
      </c>
      <c r="C30" s="38">
        <v>5</v>
      </c>
      <c r="D30" s="38" t="s">
        <v>94</v>
      </c>
      <c r="E30" s="39"/>
    </row>
    <row r="31" spans="1:5">
      <c r="A31" s="38">
        <v>28</v>
      </c>
      <c r="B31" s="39" t="s">
        <v>298</v>
      </c>
      <c r="C31" s="38">
        <v>10</v>
      </c>
      <c r="D31" s="38" t="s">
        <v>94</v>
      </c>
      <c r="E31" s="39"/>
    </row>
    <row r="32" spans="1:5">
      <c r="A32" s="38">
        <v>29</v>
      </c>
      <c r="B32" s="39" t="s">
        <v>299</v>
      </c>
      <c r="C32" s="38">
        <v>3</v>
      </c>
      <c r="D32" s="38" t="s">
        <v>94</v>
      </c>
      <c r="E32" s="39"/>
    </row>
    <row r="33" spans="1:5">
      <c r="A33" s="38">
        <v>30</v>
      </c>
      <c r="B33" s="39" t="s">
        <v>300</v>
      </c>
      <c r="C33" s="38">
        <v>8</v>
      </c>
      <c r="D33" s="38" t="s">
        <v>94</v>
      </c>
      <c r="E33" s="39"/>
    </row>
    <row r="34" spans="1:5">
      <c r="A34" s="38">
        <v>31</v>
      </c>
      <c r="B34" s="39" t="s">
        <v>301</v>
      </c>
      <c r="C34" s="38">
        <v>7</v>
      </c>
      <c r="D34" s="38" t="s">
        <v>94</v>
      </c>
      <c r="E34" s="39"/>
    </row>
    <row r="35" spans="1:5">
      <c r="A35" s="38">
        <v>32</v>
      </c>
      <c r="B35" s="39" t="s">
        <v>302</v>
      </c>
      <c r="C35" s="38">
        <v>1</v>
      </c>
      <c r="D35" s="38" t="s">
        <v>94</v>
      </c>
      <c r="E35" s="39"/>
    </row>
    <row r="36" spans="1:5">
      <c r="A36" s="38">
        <v>33</v>
      </c>
      <c r="B36" s="39" t="s">
        <v>303</v>
      </c>
      <c r="C36" s="38">
        <v>1</v>
      </c>
      <c r="D36" s="38" t="s">
        <v>94</v>
      </c>
      <c r="E36" s="39"/>
    </row>
    <row r="37" spans="1:5">
      <c r="A37" s="38">
        <v>34</v>
      </c>
      <c r="B37" s="39" t="s">
        <v>304</v>
      </c>
      <c r="C37" s="38">
        <v>1</v>
      </c>
      <c r="D37" s="38" t="s">
        <v>94</v>
      </c>
      <c r="E37" s="39"/>
    </row>
    <row r="38" spans="1:5">
      <c r="A38" s="38">
        <v>35</v>
      </c>
      <c r="B38" s="39" t="s">
        <v>305</v>
      </c>
      <c r="C38" s="38">
        <v>1</v>
      </c>
      <c r="D38" s="38" t="s">
        <v>94</v>
      </c>
      <c r="E38" s="39"/>
    </row>
    <row r="39" spans="1:5">
      <c r="A39" s="38">
        <v>36</v>
      </c>
      <c r="B39" s="39" t="s">
        <v>306</v>
      </c>
      <c r="C39" s="38">
        <v>2</v>
      </c>
      <c r="D39" s="38" t="s">
        <v>94</v>
      </c>
      <c r="E39" s="39"/>
    </row>
    <row r="40" spans="1:5">
      <c r="A40" s="38">
        <v>37</v>
      </c>
      <c r="B40" s="39" t="s">
        <v>307</v>
      </c>
      <c r="C40" s="38">
        <v>1</v>
      </c>
      <c r="D40" s="38" t="s">
        <v>94</v>
      </c>
      <c r="E40" s="39"/>
    </row>
    <row r="41" spans="1:5">
      <c r="A41" s="38">
        <v>38</v>
      </c>
      <c r="B41" s="39" t="s">
        <v>308</v>
      </c>
      <c r="C41" s="38">
        <v>1</v>
      </c>
      <c r="D41" s="38" t="s">
        <v>94</v>
      </c>
      <c r="E41" s="39"/>
    </row>
    <row r="42" spans="1:5">
      <c r="A42" s="38">
        <v>39</v>
      </c>
      <c r="B42" s="39" t="s">
        <v>309</v>
      </c>
      <c r="C42" s="38">
        <v>2</v>
      </c>
      <c r="D42" s="38" t="s">
        <v>94</v>
      </c>
      <c r="E42" s="39"/>
    </row>
    <row r="43" spans="1:5">
      <c r="A43" s="38">
        <v>40</v>
      </c>
      <c r="B43" s="39" t="s">
        <v>310</v>
      </c>
      <c r="C43" s="38">
        <v>1</v>
      </c>
      <c r="D43" s="38" t="s">
        <v>94</v>
      </c>
      <c r="E43" s="39"/>
    </row>
    <row r="44" spans="1:5">
      <c r="A44" s="38">
        <v>41</v>
      </c>
      <c r="B44" s="39" t="s">
        <v>311</v>
      </c>
      <c r="C44" s="38">
        <v>1</v>
      </c>
      <c r="D44" s="38" t="s">
        <v>94</v>
      </c>
      <c r="E44" s="39"/>
    </row>
    <row r="45" spans="1:5">
      <c r="A45" s="38">
        <v>42</v>
      </c>
      <c r="B45" s="39" t="s">
        <v>137</v>
      </c>
      <c r="C45" s="38">
        <v>2</v>
      </c>
      <c r="D45" s="38" t="s">
        <v>94</v>
      </c>
      <c r="E45" s="39" t="s">
        <v>312</v>
      </c>
    </row>
    <row r="46" spans="1:5">
      <c r="A46" s="38">
        <v>43</v>
      </c>
      <c r="B46" s="39" t="s">
        <v>313</v>
      </c>
      <c r="C46" s="38">
        <v>2</v>
      </c>
      <c r="D46" s="38" t="s">
        <v>94</v>
      </c>
      <c r="E46" s="39"/>
    </row>
    <row r="47" spans="1:5">
      <c r="A47" s="38">
        <v>44</v>
      </c>
      <c r="B47" s="39" t="s">
        <v>314</v>
      </c>
      <c r="C47" s="38">
        <v>2</v>
      </c>
      <c r="D47" s="38" t="s">
        <v>94</v>
      </c>
      <c r="E47" s="39"/>
    </row>
    <row r="48" spans="1:5">
      <c r="A48" s="38">
        <v>45</v>
      </c>
      <c r="B48" s="39" t="s">
        <v>315</v>
      </c>
      <c r="C48" s="38">
        <v>1</v>
      </c>
      <c r="D48" s="38" t="s">
        <v>94</v>
      </c>
      <c r="E48" s="39"/>
    </row>
    <row r="49" spans="1:5">
      <c r="A49" s="38">
        <v>46</v>
      </c>
      <c r="B49" s="39" t="s">
        <v>316</v>
      </c>
      <c r="C49" s="38">
        <v>1</v>
      </c>
      <c r="D49" s="38" t="s">
        <v>94</v>
      </c>
      <c r="E49" s="39"/>
    </row>
    <row r="50" spans="1:5">
      <c r="A50" s="38">
        <v>47</v>
      </c>
      <c r="B50" s="39" t="s">
        <v>317</v>
      </c>
      <c r="C50" s="38">
        <v>1</v>
      </c>
      <c r="D50" s="38" t="s">
        <v>94</v>
      </c>
      <c r="E50" s="39"/>
    </row>
    <row r="51" spans="1:5">
      <c r="A51" s="38">
        <v>48</v>
      </c>
      <c r="B51" s="39" t="s">
        <v>318</v>
      </c>
      <c r="C51" s="38">
        <v>8</v>
      </c>
      <c r="D51" s="38" t="s">
        <v>94</v>
      </c>
      <c r="E51" s="39" t="s">
        <v>319</v>
      </c>
    </row>
    <row r="52" spans="1:5">
      <c r="A52" s="38">
        <v>49</v>
      </c>
      <c r="B52" s="39" t="s">
        <v>320</v>
      </c>
      <c r="C52" s="38">
        <v>1</v>
      </c>
      <c r="D52" s="38" t="s">
        <v>94</v>
      </c>
      <c r="E52" s="39"/>
    </row>
    <row r="53" spans="1:5">
      <c r="A53" s="38">
        <v>50</v>
      </c>
      <c r="B53" s="39" t="s">
        <v>321</v>
      </c>
      <c r="C53" s="38">
        <v>8</v>
      </c>
      <c r="D53" s="38" t="s">
        <v>94</v>
      </c>
      <c r="E53" s="39" t="s">
        <v>319</v>
      </c>
    </row>
    <row r="54" spans="1:5">
      <c r="A54" s="38">
        <v>51</v>
      </c>
      <c r="B54" s="39" t="s">
        <v>322</v>
      </c>
      <c r="C54" s="38">
        <v>1</v>
      </c>
      <c r="D54" s="38" t="s">
        <v>94</v>
      </c>
      <c r="E54" s="39"/>
    </row>
    <row r="55" spans="1:5">
      <c r="A55" s="38">
        <v>52</v>
      </c>
      <c r="B55" s="39" t="s">
        <v>149</v>
      </c>
      <c r="C55" s="38">
        <v>15</v>
      </c>
      <c r="D55" s="38" t="s">
        <v>147</v>
      </c>
      <c r="E55" s="39"/>
    </row>
    <row r="56" spans="1:5">
      <c r="A56" s="38">
        <v>53</v>
      </c>
      <c r="B56" s="39" t="s">
        <v>148</v>
      </c>
      <c r="C56" s="38">
        <v>8</v>
      </c>
      <c r="D56" s="38" t="s">
        <v>147</v>
      </c>
      <c r="E56" s="39"/>
    </row>
    <row r="57" spans="1:5">
      <c r="A57" s="38">
        <v>54</v>
      </c>
      <c r="B57" s="39" t="s">
        <v>323</v>
      </c>
      <c r="C57" s="38">
        <v>1</v>
      </c>
      <c r="D57" s="38" t="s">
        <v>94</v>
      </c>
      <c r="E57" s="39"/>
    </row>
    <row r="58" spans="1:5">
      <c r="A58" s="38">
        <v>55</v>
      </c>
      <c r="B58" s="39" t="s">
        <v>151</v>
      </c>
      <c r="C58" s="38">
        <v>1</v>
      </c>
      <c r="D58" s="38" t="s">
        <v>94</v>
      </c>
      <c r="E58" s="39" t="s">
        <v>324</v>
      </c>
    </row>
    <row r="59" spans="1:5">
      <c r="A59" s="133" t="s">
        <v>155</v>
      </c>
      <c r="B59" s="133"/>
      <c r="C59" s="40">
        <f>COUNTA(B4:B58)</f>
        <v>55</v>
      </c>
      <c r="D59" s="41"/>
      <c r="E59" s="41"/>
    </row>
  </sheetData>
  <mergeCells count="2">
    <mergeCell ref="A1:E1"/>
    <mergeCell ref="A59:B5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000C-97B2-4823-8FE5-C4656E388317}">
  <dimension ref="A1:E57"/>
  <sheetViews>
    <sheetView tabSelected="1" zoomScaleNormal="100" workbookViewId="0">
      <pane ySplit="3" topLeftCell="A40" activePane="bottomLeft" state="frozen"/>
      <selection activeCell="B1" sqref="B1"/>
      <selection pane="bottomLeft" activeCell="I53" sqref="I53"/>
    </sheetView>
  </sheetViews>
  <sheetFormatPr defaultColWidth="8.6328125" defaultRowHeight="14.5"/>
  <cols>
    <col min="1" max="1" width="6.08984375" style="36" customWidth="1"/>
    <col min="2" max="2" width="30" style="36" customWidth="1"/>
    <col min="3" max="4" width="9.90625" style="36" customWidth="1"/>
    <col min="5" max="5" width="23.90625" style="36" customWidth="1"/>
    <col min="6" max="16384" width="8.6328125" style="36"/>
  </cols>
  <sheetData>
    <row r="1" spans="1:5" ht="24" customHeight="1">
      <c r="A1" s="151" t="s">
        <v>85</v>
      </c>
      <c r="B1" s="151"/>
      <c r="C1" s="151"/>
      <c r="D1" s="151"/>
      <c r="E1" s="151"/>
    </row>
    <row r="3" spans="1:5">
      <c r="A3" s="152" t="s">
        <v>88</v>
      </c>
      <c r="B3" s="152" t="s">
        <v>89</v>
      </c>
      <c r="C3" s="152" t="s">
        <v>90</v>
      </c>
      <c r="D3" s="152" t="s">
        <v>91</v>
      </c>
      <c r="E3" s="152" t="s">
        <v>92</v>
      </c>
    </row>
    <row r="4" spans="1:5">
      <c r="A4" s="153">
        <v>1</v>
      </c>
      <c r="B4" s="154" t="s">
        <v>50</v>
      </c>
      <c r="C4" s="153">
        <v>2</v>
      </c>
      <c r="D4" s="153" t="s">
        <v>94</v>
      </c>
      <c r="E4" s="154"/>
    </row>
    <row r="5" spans="1:5">
      <c r="A5" s="153">
        <v>2</v>
      </c>
      <c r="B5" s="154" t="s">
        <v>282</v>
      </c>
      <c r="C5" s="153">
        <v>8</v>
      </c>
      <c r="D5" s="153" t="s">
        <v>94</v>
      </c>
      <c r="E5" s="154"/>
    </row>
    <row r="6" spans="1:5">
      <c r="A6" s="153">
        <v>3</v>
      </c>
      <c r="B6" s="154" t="s">
        <v>273</v>
      </c>
      <c r="C6" s="153">
        <v>1</v>
      </c>
      <c r="D6" s="153" t="s">
        <v>94</v>
      </c>
      <c r="E6" s="154"/>
    </row>
    <row r="7" spans="1:5">
      <c r="A7" s="153">
        <v>4</v>
      </c>
      <c r="B7" s="154" t="s">
        <v>274</v>
      </c>
      <c r="C7" s="153">
        <v>1</v>
      </c>
      <c r="D7" s="153" t="s">
        <v>94</v>
      </c>
      <c r="E7" s="154"/>
    </row>
    <row r="8" spans="1:5">
      <c r="A8" s="153">
        <v>5</v>
      </c>
      <c r="B8" s="154" t="s">
        <v>275</v>
      </c>
      <c r="C8" s="153">
        <v>1</v>
      </c>
      <c r="D8" s="153" t="s">
        <v>94</v>
      </c>
      <c r="E8" s="154"/>
    </row>
    <row r="9" spans="1:5">
      <c r="A9" s="153">
        <v>6</v>
      </c>
      <c r="B9" s="154" t="s">
        <v>276</v>
      </c>
      <c r="C9" s="153">
        <v>1</v>
      </c>
      <c r="D9" s="153" t="s">
        <v>94</v>
      </c>
      <c r="E9" s="154"/>
    </row>
    <row r="10" spans="1:5">
      <c r="A10" s="153">
        <v>7</v>
      </c>
      <c r="B10" s="154" t="s">
        <v>749</v>
      </c>
      <c r="C10" s="153">
        <v>3</v>
      </c>
      <c r="D10" s="153" t="s">
        <v>94</v>
      </c>
      <c r="E10" s="154"/>
    </row>
    <row r="11" spans="1:5">
      <c r="A11" s="153">
        <v>8</v>
      </c>
      <c r="B11" s="154" t="s">
        <v>750</v>
      </c>
      <c r="C11" s="153">
        <v>1</v>
      </c>
      <c r="D11" s="153" t="s">
        <v>94</v>
      </c>
      <c r="E11" s="154"/>
    </row>
    <row r="12" spans="1:5">
      <c r="A12" s="153">
        <v>9</v>
      </c>
      <c r="B12" s="154" t="s">
        <v>751</v>
      </c>
      <c r="C12" s="153">
        <v>4</v>
      </c>
      <c r="D12" s="153" t="s">
        <v>94</v>
      </c>
      <c r="E12" s="154"/>
    </row>
    <row r="13" spans="1:5">
      <c r="A13" s="153">
        <v>10</v>
      </c>
      <c r="B13" s="154" t="s">
        <v>752</v>
      </c>
      <c r="C13" s="153">
        <v>4</v>
      </c>
      <c r="D13" s="153" t="s">
        <v>94</v>
      </c>
      <c r="E13" s="154"/>
    </row>
    <row r="14" spans="1:5">
      <c r="A14" s="153">
        <v>11</v>
      </c>
      <c r="B14" s="154" t="s">
        <v>753</v>
      </c>
      <c r="C14" s="153">
        <v>7</v>
      </c>
      <c r="D14" s="153" t="s">
        <v>94</v>
      </c>
      <c r="E14" s="154"/>
    </row>
    <row r="15" spans="1:5">
      <c r="A15" s="153">
        <v>12</v>
      </c>
      <c r="B15" s="154" t="s">
        <v>287</v>
      </c>
      <c r="C15" s="153">
        <v>1</v>
      </c>
      <c r="D15" s="153" t="s">
        <v>94</v>
      </c>
      <c r="E15" s="154"/>
    </row>
    <row r="16" spans="1:5">
      <c r="A16" s="153">
        <v>13</v>
      </c>
      <c r="B16" s="154" t="s">
        <v>289</v>
      </c>
      <c r="C16" s="153">
        <v>1</v>
      </c>
      <c r="D16" s="153" t="s">
        <v>94</v>
      </c>
      <c r="E16" s="154"/>
    </row>
    <row r="17" spans="1:5">
      <c r="A17" s="153">
        <v>14</v>
      </c>
      <c r="B17" s="154" t="s">
        <v>290</v>
      </c>
      <c r="C17" s="153">
        <v>1</v>
      </c>
      <c r="D17" s="153" t="s">
        <v>94</v>
      </c>
      <c r="E17" s="154"/>
    </row>
    <row r="18" spans="1:5">
      <c r="A18" s="153">
        <v>15</v>
      </c>
      <c r="B18" s="154" t="s">
        <v>291</v>
      </c>
      <c r="C18" s="153">
        <v>2</v>
      </c>
      <c r="D18" s="153" t="s">
        <v>94</v>
      </c>
      <c r="E18" s="154"/>
    </row>
    <row r="19" spans="1:5">
      <c r="A19" s="153">
        <v>16</v>
      </c>
      <c r="B19" s="154" t="s">
        <v>116</v>
      </c>
      <c r="C19" s="153">
        <v>2</v>
      </c>
      <c r="D19" s="153" t="s">
        <v>94</v>
      </c>
      <c r="E19" s="154"/>
    </row>
    <row r="20" spans="1:5">
      <c r="A20" s="153">
        <v>17</v>
      </c>
      <c r="B20" s="154" t="s">
        <v>292</v>
      </c>
      <c r="C20" s="153">
        <v>1</v>
      </c>
      <c r="D20" s="153" t="s">
        <v>94</v>
      </c>
      <c r="E20" s="154"/>
    </row>
    <row r="21" spans="1:5">
      <c r="A21" s="153">
        <v>18</v>
      </c>
      <c r="B21" s="154" t="s">
        <v>295</v>
      </c>
      <c r="C21" s="153">
        <v>1</v>
      </c>
      <c r="D21" s="153" t="s">
        <v>94</v>
      </c>
      <c r="E21" s="154"/>
    </row>
    <row r="22" spans="1:5">
      <c r="A22" s="153">
        <v>19</v>
      </c>
      <c r="B22" s="154" t="s">
        <v>296</v>
      </c>
      <c r="C22" s="153">
        <v>1</v>
      </c>
      <c r="D22" s="153" t="s">
        <v>94</v>
      </c>
      <c r="E22" s="154"/>
    </row>
    <row r="23" spans="1:5">
      <c r="A23" s="153">
        <v>20</v>
      </c>
      <c r="B23" s="154" t="s">
        <v>302</v>
      </c>
      <c r="C23" s="153">
        <v>1</v>
      </c>
      <c r="D23" s="153" t="s">
        <v>94</v>
      </c>
      <c r="E23" s="154"/>
    </row>
    <row r="24" spans="1:5">
      <c r="A24" s="153">
        <v>21</v>
      </c>
      <c r="B24" s="154" t="s">
        <v>303</v>
      </c>
      <c r="C24" s="153">
        <v>2</v>
      </c>
      <c r="D24" s="153" t="s">
        <v>94</v>
      </c>
      <c r="E24" s="154"/>
    </row>
    <row r="25" spans="1:5">
      <c r="A25" s="153">
        <v>22</v>
      </c>
      <c r="B25" s="154" t="s">
        <v>304</v>
      </c>
      <c r="C25" s="153">
        <v>1</v>
      </c>
      <c r="D25" s="153" t="s">
        <v>94</v>
      </c>
      <c r="E25" s="154"/>
    </row>
    <row r="26" spans="1:5">
      <c r="A26" s="153">
        <v>23</v>
      </c>
      <c r="B26" s="154" t="s">
        <v>305</v>
      </c>
      <c r="C26" s="153">
        <v>1</v>
      </c>
      <c r="D26" s="153" t="s">
        <v>94</v>
      </c>
      <c r="E26" s="154"/>
    </row>
    <row r="27" spans="1:5">
      <c r="A27" s="153">
        <v>24</v>
      </c>
      <c r="B27" s="154" t="s">
        <v>749</v>
      </c>
      <c r="C27" s="153">
        <v>3</v>
      </c>
      <c r="D27" s="153" t="s">
        <v>94</v>
      </c>
      <c r="E27" s="154"/>
    </row>
    <row r="28" spans="1:5">
      <c r="A28" s="153">
        <v>25</v>
      </c>
      <c r="B28" s="154" t="s">
        <v>308</v>
      </c>
      <c r="C28" s="153">
        <v>2</v>
      </c>
      <c r="D28" s="153" t="s">
        <v>94</v>
      </c>
      <c r="E28" s="154"/>
    </row>
    <row r="29" spans="1:5">
      <c r="A29" s="153">
        <v>26</v>
      </c>
      <c r="B29" s="154" t="s">
        <v>311</v>
      </c>
      <c r="C29" s="153">
        <v>1</v>
      </c>
      <c r="D29" s="153" t="s">
        <v>94</v>
      </c>
      <c r="E29" s="154"/>
    </row>
    <row r="30" spans="1:5">
      <c r="A30" s="153">
        <v>27</v>
      </c>
      <c r="B30" s="154" t="s">
        <v>137</v>
      </c>
      <c r="C30" s="153">
        <v>2</v>
      </c>
      <c r="D30" s="153" t="s">
        <v>94</v>
      </c>
      <c r="E30" s="154"/>
    </row>
    <row r="31" spans="1:5">
      <c r="A31" s="153">
        <v>28</v>
      </c>
      <c r="B31" s="154" t="s">
        <v>322</v>
      </c>
      <c r="C31" s="153">
        <v>1</v>
      </c>
      <c r="D31" s="153" t="s">
        <v>94</v>
      </c>
      <c r="E31" s="154"/>
    </row>
    <row r="32" spans="1:5">
      <c r="A32" s="153">
        <v>29</v>
      </c>
      <c r="B32" s="154" t="s">
        <v>314</v>
      </c>
      <c r="C32" s="153">
        <v>1</v>
      </c>
      <c r="D32" s="153" t="s">
        <v>94</v>
      </c>
      <c r="E32" s="154"/>
    </row>
    <row r="33" spans="1:5">
      <c r="A33" s="153">
        <v>30</v>
      </c>
      <c r="B33" s="154" t="s">
        <v>315</v>
      </c>
      <c r="C33" s="153">
        <v>1</v>
      </c>
      <c r="D33" s="153" t="s">
        <v>94</v>
      </c>
      <c r="E33" s="154"/>
    </row>
    <row r="34" spans="1:5">
      <c r="A34" s="153">
        <v>31</v>
      </c>
      <c r="B34" s="154" t="s">
        <v>316</v>
      </c>
      <c r="C34" s="153">
        <v>1</v>
      </c>
      <c r="D34" s="153" t="s">
        <v>94</v>
      </c>
      <c r="E34" s="154"/>
    </row>
    <row r="35" spans="1:5">
      <c r="A35" s="153">
        <v>32</v>
      </c>
      <c r="B35" s="154" t="s">
        <v>317</v>
      </c>
      <c r="C35" s="153">
        <v>1</v>
      </c>
      <c r="D35" s="153" t="s">
        <v>94</v>
      </c>
      <c r="E35" s="154"/>
    </row>
    <row r="36" spans="1:5">
      <c r="A36" s="153">
        <v>33</v>
      </c>
      <c r="B36" s="154" t="s">
        <v>149</v>
      </c>
      <c r="C36" s="153">
        <v>15</v>
      </c>
      <c r="D36" s="153" t="s">
        <v>147</v>
      </c>
      <c r="E36" s="154"/>
    </row>
    <row r="37" spans="1:5">
      <c r="A37" s="153">
        <v>34</v>
      </c>
      <c r="B37" s="154" t="s">
        <v>148</v>
      </c>
      <c r="C37" s="153">
        <v>15</v>
      </c>
      <c r="D37" s="153" t="s">
        <v>147</v>
      </c>
      <c r="E37" s="154"/>
    </row>
    <row r="38" spans="1:5">
      <c r="A38" s="153">
        <v>35</v>
      </c>
      <c r="B38" s="154" t="s">
        <v>321</v>
      </c>
      <c r="C38" s="153">
        <v>9</v>
      </c>
      <c r="D38" s="153" t="s">
        <v>94</v>
      </c>
      <c r="E38" s="154"/>
    </row>
    <row r="39" spans="1:5">
      <c r="A39" s="153">
        <v>36</v>
      </c>
      <c r="B39" s="154" t="s">
        <v>318</v>
      </c>
      <c r="C39" s="153">
        <v>4</v>
      </c>
      <c r="D39" s="153" t="s">
        <v>94</v>
      </c>
      <c r="E39" s="154"/>
    </row>
    <row r="40" spans="1:5">
      <c r="A40" s="153">
        <v>37</v>
      </c>
      <c r="B40" s="154" t="s">
        <v>754</v>
      </c>
      <c r="C40" s="153">
        <v>2</v>
      </c>
      <c r="D40" s="153" t="s">
        <v>94</v>
      </c>
      <c r="E40" s="154"/>
    </row>
    <row r="41" spans="1:5">
      <c r="A41" s="153">
        <v>38</v>
      </c>
      <c r="B41" s="154" t="s">
        <v>755</v>
      </c>
      <c r="C41" s="153">
        <v>3</v>
      </c>
      <c r="D41" s="153" t="s">
        <v>94</v>
      </c>
      <c r="E41" s="154"/>
    </row>
    <row r="42" spans="1:5">
      <c r="A42" s="153">
        <v>39</v>
      </c>
      <c r="B42" s="154"/>
      <c r="C42" s="153"/>
      <c r="D42" s="153" t="s">
        <v>94</v>
      </c>
      <c r="E42" s="154"/>
    </row>
    <row r="43" spans="1:5">
      <c r="A43" s="153">
        <v>40</v>
      </c>
      <c r="B43" s="154"/>
      <c r="C43" s="153"/>
      <c r="D43" s="153" t="s">
        <v>94</v>
      </c>
      <c r="E43" s="154"/>
    </row>
    <row r="44" spans="1:5">
      <c r="A44" s="153">
        <v>41</v>
      </c>
      <c r="B44" s="154"/>
      <c r="C44" s="153"/>
      <c r="D44" s="153" t="s">
        <v>94</v>
      </c>
      <c r="E44" s="154"/>
    </row>
    <row r="45" spans="1:5">
      <c r="A45" s="153">
        <v>42</v>
      </c>
      <c r="B45" s="154"/>
      <c r="C45" s="153"/>
      <c r="D45" s="153" t="s">
        <v>94</v>
      </c>
      <c r="E45" s="154"/>
    </row>
    <row r="46" spans="1:5">
      <c r="A46" s="153">
        <v>43</v>
      </c>
      <c r="B46" s="154"/>
      <c r="C46" s="153"/>
      <c r="D46" s="153" t="s">
        <v>94</v>
      </c>
      <c r="E46" s="154"/>
    </row>
    <row r="47" spans="1:5">
      <c r="A47" s="153">
        <v>44</v>
      </c>
      <c r="B47" s="154"/>
      <c r="C47" s="153"/>
      <c r="D47" s="153" t="s">
        <v>94</v>
      </c>
      <c r="E47" s="154"/>
    </row>
    <row r="48" spans="1:5">
      <c r="A48" s="153">
        <v>45</v>
      </c>
      <c r="B48" s="154"/>
      <c r="C48" s="153"/>
      <c r="D48" s="153" t="s">
        <v>94</v>
      </c>
      <c r="E48" s="154"/>
    </row>
    <row r="49" spans="1:5">
      <c r="A49" s="153">
        <v>46</v>
      </c>
      <c r="B49" s="154"/>
      <c r="C49" s="153"/>
      <c r="D49" s="153" t="s">
        <v>94</v>
      </c>
      <c r="E49" s="154"/>
    </row>
    <row r="50" spans="1:5">
      <c r="A50" s="153">
        <v>47</v>
      </c>
      <c r="B50" s="154"/>
      <c r="C50" s="153"/>
      <c r="D50" s="153" t="s">
        <v>94</v>
      </c>
      <c r="E50" s="154"/>
    </row>
    <row r="51" spans="1:5">
      <c r="A51" s="153">
        <v>48</v>
      </c>
      <c r="B51" s="154"/>
      <c r="C51" s="153"/>
      <c r="D51" s="153" t="s">
        <v>94</v>
      </c>
      <c r="E51" s="154"/>
    </row>
    <row r="52" spans="1:5">
      <c r="A52" s="153">
        <v>49</v>
      </c>
      <c r="B52" s="154"/>
      <c r="C52" s="153"/>
      <c r="D52" s="153" t="s">
        <v>94</v>
      </c>
      <c r="E52" s="154"/>
    </row>
    <row r="53" spans="1:5">
      <c r="A53" s="153">
        <v>50</v>
      </c>
      <c r="B53" s="154"/>
      <c r="C53" s="153"/>
      <c r="D53" s="153" t="s">
        <v>147</v>
      </c>
      <c r="E53" s="154"/>
    </row>
    <row r="54" spans="1:5">
      <c r="A54" s="153">
        <v>51</v>
      </c>
      <c r="B54" s="154"/>
      <c r="C54" s="153"/>
      <c r="D54" s="153" t="s">
        <v>147</v>
      </c>
      <c r="E54" s="154"/>
    </row>
    <row r="55" spans="1:5">
      <c r="A55" s="153"/>
      <c r="B55" s="154"/>
      <c r="C55" s="153"/>
      <c r="D55" s="153"/>
      <c r="E55" s="154"/>
    </row>
    <row r="56" spans="1:5">
      <c r="A56" s="153"/>
      <c r="B56" s="154"/>
      <c r="C56" s="153"/>
      <c r="D56" s="153"/>
      <c r="E56" s="154"/>
    </row>
    <row r="57" spans="1:5">
      <c r="A57" s="155" t="s">
        <v>155</v>
      </c>
      <c r="B57" s="155"/>
      <c r="C57" s="156">
        <v>108</v>
      </c>
      <c r="D57" s="41"/>
      <c r="E57" s="41"/>
    </row>
  </sheetData>
  <mergeCells count="2">
    <mergeCell ref="A1:E1"/>
    <mergeCell ref="A57:B5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75F8-3EF8-4658-A79B-88B64EE1C982}">
  <dimension ref="A1:T95"/>
  <sheetViews>
    <sheetView zoomScale="98" zoomScaleNormal="98" zoomScaleSheetLayoutView="130" zoomScalePageLayoutView="130" workbookViewId="0">
      <selection activeCell="K96" sqref="K96"/>
    </sheetView>
  </sheetViews>
  <sheetFormatPr defaultColWidth="9" defaultRowHeight="14.5"/>
  <cols>
    <col min="1" max="1" width="9" style="86"/>
    <col min="2" max="2" width="25.453125" style="86" customWidth="1"/>
    <col min="3" max="6" width="9" style="86"/>
    <col min="7" max="7" width="21.90625" style="86" customWidth="1"/>
    <col min="8" max="10" width="9" style="86"/>
    <col min="11" max="11" width="21.26953125" style="86" customWidth="1"/>
    <col min="12" max="14" width="9" style="86"/>
    <col min="15" max="15" width="18.6328125" style="86" customWidth="1"/>
    <col min="16" max="18" width="9" style="86"/>
    <col min="19" max="19" width="24.1796875" style="86" customWidth="1"/>
    <col min="20" max="16384" width="9" style="86"/>
  </cols>
  <sheetData>
    <row r="1" spans="1:20">
      <c r="A1" s="136" t="s">
        <v>85</v>
      </c>
      <c r="B1" s="136"/>
      <c r="C1" s="136"/>
      <c r="D1" s="136"/>
      <c r="F1" s="135" t="s">
        <v>539</v>
      </c>
      <c r="G1" s="135"/>
      <c r="H1" s="135"/>
      <c r="J1" s="135" t="s">
        <v>540</v>
      </c>
      <c r="K1" s="135"/>
      <c r="L1" s="135"/>
      <c r="N1" s="135" t="s">
        <v>541</v>
      </c>
      <c r="O1" s="135"/>
      <c r="P1" s="135"/>
      <c r="R1" s="135" t="s">
        <v>542</v>
      </c>
      <c r="S1" s="135"/>
      <c r="T1" s="135"/>
    </row>
    <row r="2" spans="1:20">
      <c r="A2" s="85" t="s">
        <v>88</v>
      </c>
      <c r="B2" s="85" t="s">
        <v>543</v>
      </c>
      <c r="C2" s="85" t="s">
        <v>90</v>
      </c>
      <c r="D2" s="85" t="s">
        <v>91</v>
      </c>
      <c r="F2" s="87" t="s">
        <v>88</v>
      </c>
      <c r="G2" s="87" t="s">
        <v>543</v>
      </c>
      <c r="H2" s="87" t="s">
        <v>90</v>
      </c>
      <c r="J2" s="87" t="s">
        <v>88</v>
      </c>
      <c r="K2" s="87" t="s">
        <v>543</v>
      </c>
      <c r="L2" s="87" t="s">
        <v>90</v>
      </c>
      <c r="N2" s="87" t="s">
        <v>88</v>
      </c>
      <c r="O2" s="87" t="s">
        <v>543</v>
      </c>
      <c r="P2" s="87" t="s">
        <v>90</v>
      </c>
      <c r="R2" s="87" t="s">
        <v>88</v>
      </c>
      <c r="S2" s="87" t="s">
        <v>543</v>
      </c>
      <c r="T2" s="87" t="s">
        <v>90</v>
      </c>
    </row>
    <row r="3" spans="1:20">
      <c r="A3" s="88">
        <v>1</v>
      </c>
      <c r="B3" s="89" t="s">
        <v>544</v>
      </c>
      <c r="C3" s="88">
        <f>H3+H34</f>
        <v>7</v>
      </c>
      <c r="D3" s="89" t="s">
        <v>147</v>
      </c>
      <c r="F3" s="90">
        <v>1</v>
      </c>
      <c r="G3" s="91" t="s">
        <v>544</v>
      </c>
      <c r="H3" s="90">
        <v>5</v>
      </c>
      <c r="J3" s="90">
        <v>1</v>
      </c>
      <c r="K3" s="91" t="s">
        <v>545</v>
      </c>
      <c r="L3" s="90">
        <v>5</v>
      </c>
      <c r="N3" s="90">
        <v>1</v>
      </c>
      <c r="O3" s="91" t="s">
        <v>546</v>
      </c>
      <c r="P3" s="90">
        <v>2</v>
      </c>
      <c r="R3" s="90">
        <v>1</v>
      </c>
      <c r="S3" s="91" t="s">
        <v>547</v>
      </c>
      <c r="T3" s="90">
        <v>1</v>
      </c>
    </row>
    <row r="4" spans="1:20">
      <c r="A4" s="88">
        <v>2</v>
      </c>
      <c r="B4" s="89" t="s">
        <v>548</v>
      </c>
      <c r="C4" s="88">
        <f t="shared" ref="C4:C13" si="0">H4</f>
        <v>2</v>
      </c>
      <c r="D4" s="89" t="s">
        <v>549</v>
      </c>
      <c r="F4" s="90">
        <f t="shared" ref="F4:F13" si="1">F3+1</f>
        <v>2</v>
      </c>
      <c r="G4" s="91" t="s">
        <v>548</v>
      </c>
      <c r="H4" s="90">
        <v>2</v>
      </c>
      <c r="J4" s="90">
        <f t="shared" ref="J4:J12" si="2">J3+1</f>
        <v>2</v>
      </c>
      <c r="K4" s="91" t="s">
        <v>550</v>
      </c>
      <c r="L4" s="90">
        <v>3</v>
      </c>
      <c r="N4" s="90">
        <f>N3+1</f>
        <v>2</v>
      </c>
      <c r="O4" s="91" t="s">
        <v>551</v>
      </c>
      <c r="P4" s="90">
        <v>1</v>
      </c>
      <c r="R4" s="90">
        <f t="shared" ref="R4:R12" si="3">R3+1</f>
        <v>2</v>
      </c>
      <c r="S4" s="91" t="s">
        <v>552</v>
      </c>
      <c r="T4" s="90">
        <v>1</v>
      </c>
    </row>
    <row r="5" spans="1:20">
      <c r="A5" s="88">
        <v>3</v>
      </c>
      <c r="B5" s="89" t="s">
        <v>553</v>
      </c>
      <c r="C5" s="88">
        <f t="shared" si="0"/>
        <v>1</v>
      </c>
      <c r="D5" s="89" t="s">
        <v>549</v>
      </c>
      <c r="F5" s="90">
        <f t="shared" si="1"/>
        <v>3</v>
      </c>
      <c r="G5" s="91" t="s">
        <v>553</v>
      </c>
      <c r="H5" s="90">
        <v>1</v>
      </c>
      <c r="J5" s="90">
        <f t="shared" si="2"/>
        <v>3</v>
      </c>
      <c r="K5" s="91" t="s">
        <v>554</v>
      </c>
      <c r="L5" s="90">
        <v>1</v>
      </c>
      <c r="N5" s="90">
        <f>N4+1</f>
        <v>3</v>
      </c>
      <c r="O5" s="91" t="s">
        <v>555</v>
      </c>
      <c r="P5" s="90">
        <v>1</v>
      </c>
      <c r="R5" s="90">
        <f t="shared" si="3"/>
        <v>3</v>
      </c>
      <c r="S5" s="91" t="s">
        <v>556</v>
      </c>
      <c r="T5" s="90">
        <v>3</v>
      </c>
    </row>
    <row r="6" spans="1:20">
      <c r="A6" s="88">
        <f t="shared" ref="A6:A69" si="4">A5+1</f>
        <v>4</v>
      </c>
      <c r="B6" s="89" t="s">
        <v>557</v>
      </c>
      <c r="C6" s="88">
        <f t="shared" si="0"/>
        <v>1</v>
      </c>
      <c r="D6" s="89" t="s">
        <v>549</v>
      </c>
      <c r="F6" s="90">
        <f t="shared" si="1"/>
        <v>4</v>
      </c>
      <c r="G6" s="91" t="s">
        <v>557</v>
      </c>
      <c r="H6" s="90">
        <v>1</v>
      </c>
      <c r="J6" s="90">
        <f t="shared" si="2"/>
        <v>4</v>
      </c>
      <c r="K6" s="91" t="s">
        <v>558</v>
      </c>
      <c r="L6" s="90">
        <v>4</v>
      </c>
      <c r="N6" s="90">
        <f>N5+1</f>
        <v>4</v>
      </c>
      <c r="O6" s="91" t="s">
        <v>559</v>
      </c>
      <c r="P6" s="90">
        <v>1</v>
      </c>
      <c r="R6" s="90">
        <f t="shared" si="3"/>
        <v>4</v>
      </c>
      <c r="S6" s="91" t="s">
        <v>560</v>
      </c>
      <c r="T6" s="90">
        <v>1</v>
      </c>
    </row>
    <row r="7" spans="1:20">
      <c r="A7" s="88">
        <f t="shared" si="4"/>
        <v>5</v>
      </c>
      <c r="B7" s="89" t="s">
        <v>103</v>
      </c>
      <c r="C7" s="88">
        <f>H7+H23</f>
        <v>3</v>
      </c>
      <c r="D7" s="89" t="s">
        <v>549</v>
      </c>
      <c r="F7" s="90">
        <f t="shared" si="1"/>
        <v>5</v>
      </c>
      <c r="G7" s="91" t="s">
        <v>103</v>
      </c>
      <c r="H7" s="90">
        <v>1</v>
      </c>
      <c r="J7" s="90">
        <f t="shared" si="2"/>
        <v>5</v>
      </c>
      <c r="K7" s="91" t="s">
        <v>510</v>
      </c>
      <c r="L7" s="90">
        <v>6</v>
      </c>
      <c r="R7" s="90">
        <f t="shared" si="3"/>
        <v>5</v>
      </c>
      <c r="S7" s="91" t="s">
        <v>561</v>
      </c>
      <c r="T7" s="90">
        <v>3</v>
      </c>
    </row>
    <row r="8" spans="1:20">
      <c r="A8" s="88">
        <f t="shared" si="4"/>
        <v>6</v>
      </c>
      <c r="B8" s="89" t="s">
        <v>562</v>
      </c>
      <c r="C8" s="88">
        <f t="shared" si="0"/>
        <v>1</v>
      </c>
      <c r="D8" s="89" t="s">
        <v>549</v>
      </c>
      <c r="F8" s="90">
        <f t="shared" si="1"/>
        <v>6</v>
      </c>
      <c r="G8" s="91" t="s">
        <v>562</v>
      </c>
      <c r="H8" s="90">
        <v>1</v>
      </c>
      <c r="J8" s="90">
        <f t="shared" si="2"/>
        <v>6</v>
      </c>
      <c r="K8" s="91" t="s">
        <v>563</v>
      </c>
      <c r="L8" s="90">
        <v>1</v>
      </c>
      <c r="N8" s="135" t="s">
        <v>564</v>
      </c>
      <c r="O8" s="135"/>
      <c r="P8" s="135"/>
      <c r="R8" s="90">
        <f t="shared" si="3"/>
        <v>6</v>
      </c>
      <c r="S8" s="91" t="s">
        <v>565</v>
      </c>
      <c r="T8" s="90">
        <v>1</v>
      </c>
    </row>
    <row r="9" spans="1:20">
      <c r="A9" s="88">
        <f t="shared" si="4"/>
        <v>7</v>
      </c>
      <c r="B9" s="89" t="s">
        <v>566</v>
      </c>
      <c r="C9" s="88">
        <f t="shared" si="0"/>
        <v>1</v>
      </c>
      <c r="D9" s="89" t="s">
        <v>567</v>
      </c>
      <c r="F9" s="90">
        <f t="shared" si="1"/>
        <v>7</v>
      </c>
      <c r="G9" s="91" t="s">
        <v>566</v>
      </c>
      <c r="H9" s="90">
        <v>1</v>
      </c>
      <c r="J9" s="90">
        <f t="shared" si="2"/>
        <v>7</v>
      </c>
      <c r="K9" s="91" t="s">
        <v>108</v>
      </c>
      <c r="L9" s="90">
        <v>1</v>
      </c>
      <c r="N9" s="87" t="s">
        <v>88</v>
      </c>
      <c r="O9" s="87" t="s">
        <v>543</v>
      </c>
      <c r="P9" s="87" t="s">
        <v>90</v>
      </c>
      <c r="R9" s="90">
        <f t="shared" si="3"/>
        <v>7</v>
      </c>
      <c r="S9" s="91" t="s">
        <v>568</v>
      </c>
      <c r="T9" s="90">
        <v>1</v>
      </c>
    </row>
    <row r="10" spans="1:20">
      <c r="A10" s="88">
        <f t="shared" si="4"/>
        <v>8</v>
      </c>
      <c r="B10" s="89" t="s">
        <v>569</v>
      </c>
      <c r="C10" s="88">
        <f t="shared" si="0"/>
        <v>2</v>
      </c>
      <c r="D10" s="89" t="s">
        <v>147</v>
      </c>
      <c r="F10" s="90">
        <f t="shared" si="1"/>
        <v>8</v>
      </c>
      <c r="G10" s="91" t="s">
        <v>569</v>
      </c>
      <c r="H10" s="90">
        <v>2</v>
      </c>
      <c r="J10" s="90">
        <f t="shared" si="2"/>
        <v>8</v>
      </c>
      <c r="K10" s="91" t="s">
        <v>570</v>
      </c>
      <c r="L10" s="90">
        <v>2</v>
      </c>
      <c r="N10" s="90">
        <v>1</v>
      </c>
      <c r="O10" s="91" t="s">
        <v>551</v>
      </c>
      <c r="P10" s="90">
        <v>1</v>
      </c>
      <c r="R10" s="90">
        <f t="shared" si="3"/>
        <v>8</v>
      </c>
      <c r="S10" s="91" t="s">
        <v>571</v>
      </c>
      <c r="T10" s="90">
        <v>1</v>
      </c>
    </row>
    <row r="11" spans="1:20">
      <c r="A11" s="88">
        <f t="shared" si="4"/>
        <v>9</v>
      </c>
      <c r="B11" s="89" t="s">
        <v>572</v>
      </c>
      <c r="C11" s="88">
        <f t="shared" si="0"/>
        <v>1</v>
      </c>
      <c r="D11" s="89" t="s">
        <v>567</v>
      </c>
      <c r="F11" s="90">
        <f t="shared" si="1"/>
        <v>9</v>
      </c>
      <c r="G11" s="91" t="s">
        <v>572</v>
      </c>
      <c r="H11" s="90">
        <v>1</v>
      </c>
      <c r="J11" s="90">
        <f t="shared" si="2"/>
        <v>9</v>
      </c>
      <c r="K11" s="91" t="s">
        <v>573</v>
      </c>
      <c r="L11" s="90">
        <v>1</v>
      </c>
      <c r="N11" s="90">
        <f t="shared" ref="N11:N21" si="5">N10+1</f>
        <v>2</v>
      </c>
      <c r="O11" s="91" t="s">
        <v>574</v>
      </c>
      <c r="P11" s="90">
        <v>1</v>
      </c>
      <c r="R11" s="90">
        <f t="shared" si="3"/>
        <v>9</v>
      </c>
      <c r="S11" s="91" t="s">
        <v>510</v>
      </c>
      <c r="T11" s="90">
        <v>1</v>
      </c>
    </row>
    <row r="12" spans="1:20">
      <c r="A12" s="88">
        <f t="shared" si="4"/>
        <v>10</v>
      </c>
      <c r="B12" s="89" t="s">
        <v>575</v>
      </c>
      <c r="C12" s="88">
        <f t="shared" si="0"/>
        <v>1</v>
      </c>
      <c r="D12" s="89" t="s">
        <v>147</v>
      </c>
      <c r="F12" s="90">
        <f t="shared" si="1"/>
        <v>10</v>
      </c>
      <c r="G12" s="91" t="s">
        <v>575</v>
      </c>
      <c r="H12" s="90">
        <v>1</v>
      </c>
      <c r="J12" s="90">
        <f t="shared" si="2"/>
        <v>10</v>
      </c>
      <c r="K12" s="91" t="s">
        <v>576</v>
      </c>
      <c r="L12" s="90">
        <v>1</v>
      </c>
      <c r="N12" s="90">
        <f t="shared" si="5"/>
        <v>3</v>
      </c>
      <c r="O12" s="91" t="s">
        <v>577</v>
      </c>
      <c r="P12" s="90">
        <v>3</v>
      </c>
      <c r="R12" s="90">
        <f t="shared" si="3"/>
        <v>10</v>
      </c>
      <c r="S12" s="91" t="s">
        <v>578</v>
      </c>
      <c r="T12" s="90">
        <v>1</v>
      </c>
    </row>
    <row r="13" spans="1:20">
      <c r="A13" s="88">
        <f t="shared" si="4"/>
        <v>11</v>
      </c>
      <c r="B13" s="89" t="s">
        <v>579</v>
      </c>
      <c r="C13" s="88">
        <f t="shared" si="0"/>
        <v>12</v>
      </c>
      <c r="D13" s="89" t="s">
        <v>147</v>
      </c>
      <c r="F13" s="90">
        <f t="shared" si="1"/>
        <v>11</v>
      </c>
      <c r="G13" s="91" t="s">
        <v>579</v>
      </c>
      <c r="H13" s="90">
        <v>12</v>
      </c>
      <c r="N13" s="90">
        <f t="shared" si="5"/>
        <v>4</v>
      </c>
      <c r="O13" s="91" t="s">
        <v>580</v>
      </c>
      <c r="P13" s="90">
        <v>1</v>
      </c>
    </row>
    <row r="14" spans="1:20">
      <c r="A14" s="88">
        <f t="shared" si="4"/>
        <v>12</v>
      </c>
      <c r="B14" s="89" t="s">
        <v>581</v>
      </c>
      <c r="C14" s="88">
        <f>H17</f>
        <v>2</v>
      </c>
      <c r="D14" s="89" t="s">
        <v>549</v>
      </c>
      <c r="J14" s="135" t="s">
        <v>582</v>
      </c>
      <c r="K14" s="135"/>
      <c r="L14" s="135"/>
      <c r="N14" s="90">
        <f t="shared" si="5"/>
        <v>5</v>
      </c>
      <c r="O14" s="91" t="s">
        <v>583</v>
      </c>
      <c r="P14" s="90">
        <v>1</v>
      </c>
      <c r="R14" s="135" t="s">
        <v>584</v>
      </c>
      <c r="S14" s="135"/>
      <c r="T14" s="135"/>
    </row>
    <row r="15" spans="1:20">
      <c r="A15" s="88">
        <f t="shared" si="4"/>
        <v>13</v>
      </c>
      <c r="B15" s="89" t="s">
        <v>96</v>
      </c>
      <c r="C15" s="88">
        <f>H18</f>
        <v>2</v>
      </c>
      <c r="D15" s="89" t="s">
        <v>549</v>
      </c>
      <c r="F15" s="135" t="s">
        <v>585</v>
      </c>
      <c r="G15" s="135"/>
      <c r="H15" s="135"/>
      <c r="J15" s="87" t="s">
        <v>88</v>
      </c>
      <c r="K15" s="87" t="s">
        <v>543</v>
      </c>
      <c r="L15" s="87" t="s">
        <v>90</v>
      </c>
      <c r="N15" s="90">
        <f t="shared" si="5"/>
        <v>6</v>
      </c>
      <c r="O15" s="91" t="s">
        <v>586</v>
      </c>
      <c r="P15" s="90">
        <v>7</v>
      </c>
      <c r="R15" s="87" t="s">
        <v>88</v>
      </c>
      <c r="S15" s="87" t="s">
        <v>543</v>
      </c>
      <c r="T15" s="87" t="s">
        <v>90</v>
      </c>
    </row>
    <row r="16" spans="1:20">
      <c r="A16" s="88">
        <f t="shared" si="4"/>
        <v>14</v>
      </c>
      <c r="B16" s="89" t="s">
        <v>587</v>
      </c>
      <c r="C16" s="88">
        <f>H19</f>
        <v>3</v>
      </c>
      <c r="D16" s="89" t="s">
        <v>549</v>
      </c>
      <c r="F16" s="87" t="s">
        <v>88</v>
      </c>
      <c r="G16" s="87" t="s">
        <v>543</v>
      </c>
      <c r="H16" s="87" t="s">
        <v>90</v>
      </c>
      <c r="J16" s="90">
        <v>1</v>
      </c>
      <c r="K16" s="91" t="s">
        <v>588</v>
      </c>
      <c r="L16" s="90">
        <v>1</v>
      </c>
      <c r="N16" s="90">
        <f t="shared" si="5"/>
        <v>7</v>
      </c>
      <c r="O16" s="91" t="s">
        <v>275</v>
      </c>
      <c r="P16" s="90">
        <v>1</v>
      </c>
      <c r="R16" s="90">
        <v>1</v>
      </c>
      <c r="S16" s="91" t="s">
        <v>314</v>
      </c>
      <c r="T16" s="90">
        <v>1</v>
      </c>
    </row>
    <row r="17" spans="1:20">
      <c r="A17" s="88">
        <f t="shared" si="4"/>
        <v>15</v>
      </c>
      <c r="B17" s="89" t="s">
        <v>510</v>
      </c>
      <c r="C17" s="88">
        <f>H20+L37+L7+P12+T11</f>
        <v>16</v>
      </c>
      <c r="D17" s="89" t="s">
        <v>147</v>
      </c>
      <c r="F17" s="90">
        <v>1</v>
      </c>
      <c r="G17" s="91" t="s">
        <v>581</v>
      </c>
      <c r="H17" s="90">
        <v>2</v>
      </c>
      <c r="J17" s="90">
        <f t="shared" ref="J17:J38" si="6">J16+1</f>
        <v>2</v>
      </c>
      <c r="K17" s="91" t="s">
        <v>589</v>
      </c>
      <c r="L17" s="90">
        <v>1</v>
      </c>
      <c r="N17" s="90">
        <f t="shared" si="5"/>
        <v>8</v>
      </c>
      <c r="O17" s="91" t="s">
        <v>590</v>
      </c>
      <c r="P17" s="90">
        <v>1</v>
      </c>
      <c r="R17" s="90">
        <f t="shared" ref="R17:R29" si="7">R16+1</f>
        <v>2</v>
      </c>
      <c r="S17" s="91" t="s">
        <v>560</v>
      </c>
      <c r="T17" s="90">
        <v>1</v>
      </c>
    </row>
    <row r="18" spans="1:20">
      <c r="A18" s="88">
        <f t="shared" si="4"/>
        <v>16</v>
      </c>
      <c r="B18" s="89" t="s">
        <v>591</v>
      </c>
      <c r="C18" s="88">
        <f>H21+T19</f>
        <v>5</v>
      </c>
      <c r="D18" s="89" t="s">
        <v>147</v>
      </c>
      <c r="F18" s="90">
        <f t="shared" ref="F18:F27" si="8">F17+1</f>
        <v>2</v>
      </c>
      <c r="G18" s="91" t="s">
        <v>96</v>
      </c>
      <c r="H18" s="90">
        <v>2</v>
      </c>
      <c r="J18" s="90">
        <f t="shared" si="6"/>
        <v>3</v>
      </c>
      <c r="K18" s="91" t="s">
        <v>50</v>
      </c>
      <c r="L18" s="90">
        <v>2</v>
      </c>
      <c r="N18" s="90">
        <f t="shared" si="5"/>
        <v>9</v>
      </c>
      <c r="O18" s="91" t="s">
        <v>592</v>
      </c>
      <c r="P18" s="90">
        <v>1</v>
      </c>
      <c r="R18" s="90">
        <f t="shared" si="7"/>
        <v>3</v>
      </c>
      <c r="S18" s="91" t="s">
        <v>578</v>
      </c>
      <c r="T18" s="90">
        <v>3</v>
      </c>
    </row>
    <row r="19" spans="1:20">
      <c r="A19" s="88">
        <f t="shared" si="4"/>
        <v>17</v>
      </c>
      <c r="B19" s="89" t="s">
        <v>558</v>
      </c>
      <c r="C19" s="88">
        <f>H22+H37+L6+L29+P32+T12+T18</f>
        <v>12</v>
      </c>
      <c r="D19" s="89" t="s">
        <v>147</v>
      </c>
      <c r="F19" s="90">
        <f t="shared" si="8"/>
        <v>3</v>
      </c>
      <c r="G19" s="91" t="s">
        <v>587</v>
      </c>
      <c r="H19" s="90">
        <v>3</v>
      </c>
      <c r="J19" s="90">
        <f t="shared" si="6"/>
        <v>4</v>
      </c>
      <c r="K19" s="91" t="s">
        <v>593</v>
      </c>
      <c r="L19" s="90">
        <v>1</v>
      </c>
      <c r="N19" s="90">
        <f t="shared" si="5"/>
        <v>10</v>
      </c>
      <c r="O19" s="91" t="s">
        <v>594</v>
      </c>
      <c r="P19" s="90">
        <v>1</v>
      </c>
      <c r="R19" s="90">
        <f t="shared" si="7"/>
        <v>4</v>
      </c>
      <c r="S19" s="91" t="s">
        <v>591</v>
      </c>
      <c r="T19" s="90">
        <v>1</v>
      </c>
    </row>
    <row r="20" spans="1:20">
      <c r="A20" s="88">
        <f t="shared" si="4"/>
        <v>18</v>
      </c>
      <c r="B20" s="89" t="s">
        <v>595</v>
      </c>
      <c r="C20" s="88">
        <f>H24</f>
        <v>2</v>
      </c>
      <c r="D20" s="89" t="s">
        <v>549</v>
      </c>
      <c r="F20" s="90">
        <f t="shared" si="8"/>
        <v>4</v>
      </c>
      <c r="G20" s="91" t="s">
        <v>510</v>
      </c>
      <c r="H20" s="90">
        <v>5</v>
      </c>
      <c r="J20" s="90">
        <f t="shared" si="6"/>
        <v>5</v>
      </c>
      <c r="K20" s="91" t="s">
        <v>596</v>
      </c>
      <c r="L20" s="90">
        <v>9</v>
      </c>
      <c r="N20" s="90">
        <f t="shared" si="5"/>
        <v>11</v>
      </c>
      <c r="O20" s="91" t="s">
        <v>273</v>
      </c>
      <c r="P20" s="90">
        <v>2</v>
      </c>
      <c r="R20" s="90">
        <f t="shared" si="7"/>
        <v>5</v>
      </c>
      <c r="S20" s="91" t="s">
        <v>597</v>
      </c>
      <c r="T20" s="90">
        <v>1</v>
      </c>
    </row>
    <row r="21" spans="1:20">
      <c r="A21" s="88">
        <f t="shared" si="4"/>
        <v>19</v>
      </c>
      <c r="B21" s="89" t="s">
        <v>598</v>
      </c>
      <c r="C21" s="88">
        <f>H25</f>
        <v>3</v>
      </c>
      <c r="D21" s="89" t="s">
        <v>549</v>
      </c>
      <c r="F21" s="90">
        <f t="shared" si="8"/>
        <v>5</v>
      </c>
      <c r="G21" s="91" t="s">
        <v>591</v>
      </c>
      <c r="H21" s="90">
        <v>4</v>
      </c>
      <c r="J21" s="90">
        <f t="shared" si="6"/>
        <v>6</v>
      </c>
      <c r="K21" s="91" t="s">
        <v>599</v>
      </c>
      <c r="L21" s="90">
        <v>1</v>
      </c>
      <c r="N21" s="90">
        <f t="shared" si="5"/>
        <v>12</v>
      </c>
      <c r="O21" s="91" t="s">
        <v>600</v>
      </c>
      <c r="P21" s="90">
        <v>7</v>
      </c>
      <c r="R21" s="90">
        <f t="shared" si="7"/>
        <v>6</v>
      </c>
      <c r="S21" s="91" t="s">
        <v>601</v>
      </c>
      <c r="T21" s="90">
        <v>1</v>
      </c>
    </row>
    <row r="22" spans="1:20">
      <c r="A22" s="88">
        <f t="shared" si="4"/>
        <v>20</v>
      </c>
      <c r="B22" s="89" t="s">
        <v>602</v>
      </c>
      <c r="C22" s="88">
        <f>H26</f>
        <v>1</v>
      </c>
      <c r="D22" s="89" t="s">
        <v>549</v>
      </c>
      <c r="F22" s="90">
        <f t="shared" si="8"/>
        <v>6</v>
      </c>
      <c r="G22" s="91" t="s">
        <v>558</v>
      </c>
      <c r="H22" s="90">
        <v>1</v>
      </c>
      <c r="J22" s="90">
        <f t="shared" si="6"/>
        <v>7</v>
      </c>
      <c r="K22" s="91" t="s">
        <v>427</v>
      </c>
      <c r="L22" s="90">
        <v>1</v>
      </c>
      <c r="N22" s="90"/>
      <c r="O22" s="91"/>
      <c r="P22" s="90"/>
      <c r="R22" s="90">
        <f t="shared" si="7"/>
        <v>7</v>
      </c>
      <c r="S22" s="91" t="s">
        <v>603</v>
      </c>
      <c r="T22" s="90">
        <v>9</v>
      </c>
    </row>
    <row r="23" spans="1:20">
      <c r="A23" s="88">
        <f t="shared" si="4"/>
        <v>21</v>
      </c>
      <c r="B23" s="89" t="s">
        <v>604</v>
      </c>
      <c r="C23" s="88">
        <f>H27</f>
        <v>1</v>
      </c>
      <c r="D23" s="89" t="s">
        <v>549</v>
      </c>
      <c r="F23" s="90">
        <f t="shared" si="8"/>
        <v>7</v>
      </c>
      <c r="G23" s="91" t="s">
        <v>605</v>
      </c>
      <c r="H23" s="90">
        <v>2</v>
      </c>
      <c r="J23" s="90">
        <f t="shared" si="6"/>
        <v>8</v>
      </c>
      <c r="K23" s="91" t="s">
        <v>606</v>
      </c>
      <c r="L23" s="90">
        <v>2</v>
      </c>
      <c r="N23" s="135" t="s">
        <v>607</v>
      </c>
      <c r="O23" s="135"/>
      <c r="P23" s="135"/>
      <c r="R23" s="90">
        <f t="shared" si="7"/>
        <v>8</v>
      </c>
      <c r="S23" s="91" t="s">
        <v>608</v>
      </c>
      <c r="T23" s="90">
        <v>1</v>
      </c>
    </row>
    <row r="24" spans="1:20">
      <c r="A24" s="88">
        <f t="shared" si="4"/>
        <v>22</v>
      </c>
      <c r="B24" s="89" t="s">
        <v>609</v>
      </c>
      <c r="C24" s="88">
        <v>1</v>
      </c>
      <c r="D24" s="89" t="s">
        <v>549</v>
      </c>
      <c r="F24" s="90">
        <f t="shared" si="8"/>
        <v>8</v>
      </c>
      <c r="G24" s="91" t="s">
        <v>595</v>
      </c>
      <c r="H24" s="90">
        <v>2</v>
      </c>
      <c r="J24" s="90">
        <f t="shared" si="6"/>
        <v>9</v>
      </c>
      <c r="K24" s="91" t="s">
        <v>610</v>
      </c>
      <c r="L24" s="90">
        <v>1</v>
      </c>
      <c r="N24" s="87" t="s">
        <v>88</v>
      </c>
      <c r="O24" s="87" t="s">
        <v>543</v>
      </c>
      <c r="P24" s="87" t="s">
        <v>90</v>
      </c>
      <c r="R24" s="90">
        <f t="shared" si="7"/>
        <v>9</v>
      </c>
      <c r="S24" s="91" t="s">
        <v>611</v>
      </c>
      <c r="T24" s="90">
        <v>1</v>
      </c>
    </row>
    <row r="25" spans="1:20">
      <c r="A25" s="88">
        <f t="shared" si="4"/>
        <v>23</v>
      </c>
      <c r="B25" s="89" t="s">
        <v>612</v>
      </c>
      <c r="C25" s="88">
        <v>2</v>
      </c>
      <c r="D25" s="89" t="s">
        <v>147</v>
      </c>
      <c r="F25" s="90">
        <f t="shared" si="8"/>
        <v>9</v>
      </c>
      <c r="G25" s="91" t="s">
        <v>598</v>
      </c>
      <c r="H25" s="90">
        <v>3</v>
      </c>
      <c r="J25" s="90">
        <f t="shared" si="6"/>
        <v>10</v>
      </c>
      <c r="K25" s="91" t="s">
        <v>613</v>
      </c>
      <c r="L25" s="90">
        <v>4</v>
      </c>
      <c r="N25" s="90">
        <v>1</v>
      </c>
      <c r="O25" s="91" t="s">
        <v>560</v>
      </c>
      <c r="P25" s="90">
        <v>1</v>
      </c>
      <c r="R25" s="90">
        <f t="shared" si="7"/>
        <v>10</v>
      </c>
      <c r="S25" s="91" t="s">
        <v>392</v>
      </c>
      <c r="T25" s="90">
        <v>5</v>
      </c>
    </row>
    <row r="26" spans="1:20">
      <c r="A26" s="88">
        <f t="shared" si="4"/>
        <v>24</v>
      </c>
      <c r="B26" s="89" t="s">
        <v>614</v>
      </c>
      <c r="C26" s="88">
        <v>3</v>
      </c>
      <c r="D26" s="89" t="s">
        <v>147</v>
      </c>
      <c r="F26" s="90">
        <f t="shared" si="8"/>
        <v>10</v>
      </c>
      <c r="G26" s="91" t="s">
        <v>602</v>
      </c>
      <c r="H26" s="90">
        <v>1</v>
      </c>
      <c r="J26" s="90">
        <f t="shared" si="6"/>
        <v>11</v>
      </c>
      <c r="K26" s="91" t="s">
        <v>615</v>
      </c>
      <c r="L26" s="90">
        <v>1</v>
      </c>
      <c r="N26" s="90">
        <f t="shared" ref="N26:N28" si="9">N25+1</f>
        <v>2</v>
      </c>
      <c r="O26" s="91" t="s">
        <v>616</v>
      </c>
      <c r="P26" s="90">
        <v>1</v>
      </c>
      <c r="R26" s="90">
        <f t="shared" si="7"/>
        <v>11</v>
      </c>
      <c r="S26" s="91" t="s">
        <v>617</v>
      </c>
      <c r="T26" s="90">
        <v>4</v>
      </c>
    </row>
    <row r="27" spans="1:20">
      <c r="A27" s="88">
        <f t="shared" si="4"/>
        <v>25</v>
      </c>
      <c r="B27" s="89" t="s">
        <v>551</v>
      </c>
      <c r="C27" s="88">
        <f>P4+P10</f>
        <v>2</v>
      </c>
      <c r="D27" s="89" t="s">
        <v>147</v>
      </c>
      <c r="F27" s="90">
        <f t="shared" si="8"/>
        <v>11</v>
      </c>
      <c r="G27" s="91" t="s">
        <v>604</v>
      </c>
      <c r="H27" s="90">
        <v>1</v>
      </c>
      <c r="J27" s="90">
        <f t="shared" si="6"/>
        <v>12</v>
      </c>
      <c r="K27" s="91" t="s">
        <v>618</v>
      </c>
      <c r="L27" s="90">
        <v>1</v>
      </c>
      <c r="N27" s="90">
        <f t="shared" si="9"/>
        <v>3</v>
      </c>
      <c r="O27" s="91" t="s">
        <v>619</v>
      </c>
      <c r="P27" s="90">
        <v>1</v>
      </c>
      <c r="R27" s="90">
        <f t="shared" si="7"/>
        <v>12</v>
      </c>
      <c r="S27" s="91" t="s">
        <v>620</v>
      </c>
      <c r="T27" s="90">
        <v>3</v>
      </c>
    </row>
    <row r="28" spans="1:20">
      <c r="A28" s="88">
        <f t="shared" si="4"/>
        <v>26</v>
      </c>
      <c r="B28" s="89" t="s">
        <v>125</v>
      </c>
      <c r="C28" s="88">
        <v>2</v>
      </c>
      <c r="D28" s="89" t="s">
        <v>147</v>
      </c>
      <c r="F28" s="92"/>
      <c r="J28" s="90">
        <f t="shared" si="6"/>
        <v>13</v>
      </c>
      <c r="K28" s="91" t="s">
        <v>621</v>
      </c>
      <c r="L28" s="90">
        <v>1</v>
      </c>
      <c r="N28" s="90">
        <f t="shared" si="9"/>
        <v>4</v>
      </c>
      <c r="O28" s="91" t="s">
        <v>622</v>
      </c>
      <c r="P28" s="90">
        <v>1</v>
      </c>
      <c r="R28" s="93">
        <f t="shared" si="7"/>
        <v>13</v>
      </c>
      <c r="S28" s="94" t="s">
        <v>393</v>
      </c>
      <c r="T28" s="93">
        <v>1</v>
      </c>
    </row>
    <row r="29" spans="1:20">
      <c r="A29" s="88">
        <f t="shared" si="4"/>
        <v>27</v>
      </c>
      <c r="B29" s="89" t="s">
        <v>623</v>
      </c>
      <c r="C29" s="88">
        <v>1</v>
      </c>
      <c r="D29" s="89" t="s">
        <v>147</v>
      </c>
      <c r="F29" s="135" t="s">
        <v>624</v>
      </c>
      <c r="G29" s="135"/>
      <c r="H29" s="135"/>
      <c r="J29" s="90">
        <f t="shared" si="6"/>
        <v>14</v>
      </c>
      <c r="K29" s="91" t="s">
        <v>558</v>
      </c>
      <c r="L29" s="90">
        <v>1</v>
      </c>
      <c r="R29" s="90">
        <f t="shared" si="7"/>
        <v>14</v>
      </c>
      <c r="S29" s="91" t="s">
        <v>546</v>
      </c>
      <c r="T29" s="90">
        <v>1</v>
      </c>
    </row>
    <row r="30" spans="1:20">
      <c r="A30" s="88">
        <f t="shared" si="4"/>
        <v>28</v>
      </c>
      <c r="B30" s="89" t="s">
        <v>545</v>
      </c>
      <c r="C30" s="88">
        <v>5</v>
      </c>
      <c r="D30" s="89" t="s">
        <v>549</v>
      </c>
      <c r="F30" s="87" t="s">
        <v>88</v>
      </c>
      <c r="G30" s="87" t="s">
        <v>543</v>
      </c>
      <c r="H30" s="87" t="s">
        <v>90</v>
      </c>
      <c r="J30" s="90">
        <f t="shared" si="6"/>
        <v>15</v>
      </c>
      <c r="K30" s="91" t="s">
        <v>625</v>
      </c>
      <c r="L30" s="90">
        <v>1</v>
      </c>
      <c r="N30" s="135" t="s">
        <v>626</v>
      </c>
      <c r="O30" s="135"/>
      <c r="P30" s="135"/>
      <c r="R30" s="92"/>
      <c r="T30" s="92"/>
    </row>
    <row r="31" spans="1:20">
      <c r="A31" s="88">
        <f t="shared" si="4"/>
        <v>29</v>
      </c>
      <c r="B31" s="89" t="s">
        <v>550</v>
      </c>
      <c r="C31" s="88">
        <v>3</v>
      </c>
      <c r="D31" s="89" t="s">
        <v>549</v>
      </c>
      <c r="F31" s="90">
        <v>1</v>
      </c>
      <c r="G31" s="91" t="s">
        <v>609</v>
      </c>
      <c r="H31" s="90">
        <v>1</v>
      </c>
      <c r="J31" s="90">
        <f t="shared" si="6"/>
        <v>16</v>
      </c>
      <c r="K31" s="91" t="s">
        <v>273</v>
      </c>
      <c r="L31" s="90">
        <v>1</v>
      </c>
      <c r="N31" s="87" t="s">
        <v>88</v>
      </c>
      <c r="O31" s="87" t="s">
        <v>543</v>
      </c>
      <c r="P31" s="87" t="s">
        <v>90</v>
      </c>
    </row>
    <row r="32" spans="1:20">
      <c r="A32" s="88">
        <f t="shared" si="4"/>
        <v>30</v>
      </c>
      <c r="B32" s="89" t="s">
        <v>554</v>
      </c>
      <c r="C32" s="88">
        <v>1</v>
      </c>
      <c r="D32" s="89" t="s">
        <v>549</v>
      </c>
      <c r="F32" s="90">
        <f t="shared" ref="F32:F37" si="10">F31+1</f>
        <v>2</v>
      </c>
      <c r="G32" s="91" t="s">
        <v>612</v>
      </c>
      <c r="H32" s="90">
        <v>2</v>
      </c>
      <c r="J32" s="90">
        <f t="shared" si="6"/>
        <v>17</v>
      </c>
      <c r="K32" s="91" t="s">
        <v>274</v>
      </c>
      <c r="L32" s="90">
        <v>1</v>
      </c>
      <c r="N32" s="90">
        <v>1</v>
      </c>
      <c r="O32" s="91" t="s">
        <v>578</v>
      </c>
      <c r="P32" s="90">
        <v>1</v>
      </c>
    </row>
    <row r="33" spans="1:16">
      <c r="A33" s="88">
        <f t="shared" si="4"/>
        <v>31</v>
      </c>
      <c r="B33" s="89" t="s">
        <v>563</v>
      </c>
      <c r="C33" s="88">
        <v>1</v>
      </c>
      <c r="D33" s="89" t="s">
        <v>147</v>
      </c>
      <c r="F33" s="90">
        <f t="shared" si="10"/>
        <v>3</v>
      </c>
      <c r="G33" s="91" t="s">
        <v>614</v>
      </c>
      <c r="H33" s="90">
        <v>3</v>
      </c>
      <c r="J33" s="90">
        <f t="shared" si="6"/>
        <v>18</v>
      </c>
      <c r="K33" s="91" t="s">
        <v>627</v>
      </c>
      <c r="L33" s="90">
        <v>1</v>
      </c>
      <c r="N33" s="90">
        <f t="shared" ref="N33:N38" si="11">N32+1</f>
        <v>2</v>
      </c>
      <c r="O33" s="91" t="s">
        <v>628</v>
      </c>
      <c r="P33" s="90">
        <v>1</v>
      </c>
    </row>
    <row r="34" spans="1:16">
      <c r="A34" s="88">
        <f t="shared" si="4"/>
        <v>32</v>
      </c>
      <c r="B34" s="89" t="s">
        <v>108</v>
      </c>
      <c r="C34" s="88">
        <v>1</v>
      </c>
      <c r="D34" s="89" t="s">
        <v>549</v>
      </c>
      <c r="F34" s="90">
        <f t="shared" si="10"/>
        <v>4</v>
      </c>
      <c r="G34" s="91" t="s">
        <v>629</v>
      </c>
      <c r="H34" s="90">
        <v>2</v>
      </c>
      <c r="J34" s="90">
        <f t="shared" si="6"/>
        <v>19</v>
      </c>
      <c r="K34" s="91" t="s">
        <v>275</v>
      </c>
      <c r="L34" s="90">
        <v>1</v>
      </c>
      <c r="N34" s="90">
        <f t="shared" si="11"/>
        <v>3</v>
      </c>
      <c r="O34" s="91" t="s">
        <v>630</v>
      </c>
      <c r="P34" s="90">
        <v>1</v>
      </c>
    </row>
    <row r="35" spans="1:16">
      <c r="A35" s="88">
        <f t="shared" si="4"/>
        <v>33</v>
      </c>
      <c r="B35" s="89" t="s">
        <v>570</v>
      </c>
      <c r="C35" s="88">
        <v>2</v>
      </c>
      <c r="D35" s="89" t="s">
        <v>147</v>
      </c>
      <c r="F35" s="90">
        <f t="shared" si="10"/>
        <v>5</v>
      </c>
      <c r="G35" s="91" t="s">
        <v>125</v>
      </c>
      <c r="H35" s="90">
        <v>2</v>
      </c>
      <c r="J35" s="90">
        <f t="shared" si="6"/>
        <v>20</v>
      </c>
      <c r="K35" s="91" t="s">
        <v>631</v>
      </c>
      <c r="L35" s="90">
        <v>1</v>
      </c>
      <c r="N35" s="90">
        <f t="shared" si="11"/>
        <v>4</v>
      </c>
      <c r="O35" s="91" t="s">
        <v>290</v>
      </c>
      <c r="P35" s="90">
        <v>1</v>
      </c>
    </row>
    <row r="36" spans="1:16">
      <c r="A36" s="88">
        <f t="shared" si="4"/>
        <v>34</v>
      </c>
      <c r="B36" s="89" t="s">
        <v>573</v>
      </c>
      <c r="C36" s="88">
        <v>1</v>
      </c>
      <c r="D36" s="89" t="s">
        <v>147</v>
      </c>
      <c r="F36" s="90">
        <f t="shared" si="10"/>
        <v>6</v>
      </c>
      <c r="G36" s="91" t="s">
        <v>623</v>
      </c>
      <c r="H36" s="90">
        <v>1</v>
      </c>
      <c r="J36" s="90">
        <f t="shared" si="6"/>
        <v>21</v>
      </c>
      <c r="K36" s="91" t="s">
        <v>632</v>
      </c>
      <c r="L36" s="90">
        <v>1</v>
      </c>
      <c r="N36" s="90">
        <f t="shared" si="11"/>
        <v>5</v>
      </c>
      <c r="O36" s="91" t="s">
        <v>633</v>
      </c>
      <c r="P36" s="90">
        <v>1</v>
      </c>
    </row>
    <row r="37" spans="1:16">
      <c r="A37" s="88">
        <f t="shared" si="4"/>
        <v>35</v>
      </c>
      <c r="B37" s="89" t="s">
        <v>576</v>
      </c>
      <c r="C37" s="88">
        <v>1</v>
      </c>
      <c r="D37" s="89" t="s">
        <v>147</v>
      </c>
      <c r="F37" s="90">
        <f t="shared" si="10"/>
        <v>7</v>
      </c>
      <c r="G37" s="91" t="s">
        <v>558</v>
      </c>
      <c r="H37" s="90">
        <v>1</v>
      </c>
      <c r="J37" s="90">
        <f t="shared" si="6"/>
        <v>22</v>
      </c>
      <c r="K37" s="91" t="s">
        <v>577</v>
      </c>
      <c r="L37" s="90">
        <v>1</v>
      </c>
      <c r="N37" s="90">
        <f t="shared" si="11"/>
        <v>6</v>
      </c>
      <c r="O37" s="91" t="s">
        <v>632</v>
      </c>
      <c r="P37" s="90">
        <v>1</v>
      </c>
    </row>
    <row r="38" spans="1:16">
      <c r="A38" s="88">
        <f t="shared" si="4"/>
        <v>36</v>
      </c>
      <c r="B38" s="89" t="s">
        <v>588</v>
      </c>
      <c r="C38" s="88">
        <v>1</v>
      </c>
      <c r="D38" s="89" t="s">
        <v>549</v>
      </c>
      <c r="J38" s="90">
        <f t="shared" si="6"/>
        <v>23</v>
      </c>
      <c r="K38" s="91" t="s">
        <v>634</v>
      </c>
      <c r="L38" s="90">
        <v>1</v>
      </c>
      <c r="N38" s="90">
        <f t="shared" si="11"/>
        <v>7</v>
      </c>
      <c r="O38" s="91" t="s">
        <v>635</v>
      </c>
      <c r="P38" s="90">
        <v>1</v>
      </c>
    </row>
    <row r="39" spans="1:16">
      <c r="A39" s="88">
        <f t="shared" si="4"/>
        <v>37</v>
      </c>
      <c r="B39" s="89" t="s">
        <v>589</v>
      </c>
      <c r="C39" s="88">
        <f>L17+P6</f>
        <v>2</v>
      </c>
      <c r="D39" s="89" t="s">
        <v>549</v>
      </c>
    </row>
    <row r="40" spans="1:16">
      <c r="A40" s="88">
        <f t="shared" si="4"/>
        <v>38</v>
      </c>
      <c r="B40" s="89" t="s">
        <v>50</v>
      </c>
      <c r="C40" s="88">
        <v>2</v>
      </c>
      <c r="D40" s="89" t="s">
        <v>549</v>
      </c>
    </row>
    <row r="41" spans="1:16">
      <c r="A41" s="88">
        <f t="shared" si="4"/>
        <v>39</v>
      </c>
      <c r="B41" s="89" t="s">
        <v>593</v>
      </c>
      <c r="C41" s="88">
        <v>1</v>
      </c>
      <c r="D41" s="89" t="s">
        <v>549</v>
      </c>
    </row>
    <row r="42" spans="1:16">
      <c r="A42" s="88">
        <f t="shared" si="4"/>
        <v>40</v>
      </c>
      <c r="B42" s="89" t="s">
        <v>596</v>
      </c>
      <c r="C42" s="88">
        <f>L20</f>
        <v>9</v>
      </c>
      <c r="D42" s="89" t="s">
        <v>147</v>
      </c>
    </row>
    <row r="43" spans="1:16">
      <c r="A43" s="88">
        <f t="shared" si="4"/>
        <v>41</v>
      </c>
      <c r="B43" s="89" t="s">
        <v>599</v>
      </c>
      <c r="C43" s="88">
        <v>1</v>
      </c>
      <c r="D43" s="89" t="s">
        <v>147</v>
      </c>
    </row>
    <row r="44" spans="1:16">
      <c r="A44" s="88">
        <f t="shared" si="4"/>
        <v>42</v>
      </c>
      <c r="B44" s="89" t="s">
        <v>427</v>
      </c>
      <c r="C44" s="88">
        <v>1</v>
      </c>
      <c r="D44" s="89" t="s">
        <v>147</v>
      </c>
    </row>
    <row r="45" spans="1:16">
      <c r="A45" s="88">
        <f t="shared" si="4"/>
        <v>43</v>
      </c>
      <c r="B45" s="89" t="s">
        <v>606</v>
      </c>
      <c r="C45" s="88">
        <v>2</v>
      </c>
      <c r="D45" s="89" t="s">
        <v>147</v>
      </c>
    </row>
    <row r="46" spans="1:16">
      <c r="A46" s="88">
        <f t="shared" si="4"/>
        <v>44</v>
      </c>
      <c r="B46" s="89" t="s">
        <v>610</v>
      </c>
      <c r="C46" s="88">
        <v>1</v>
      </c>
      <c r="D46" s="89" t="s">
        <v>147</v>
      </c>
    </row>
    <row r="47" spans="1:16">
      <c r="A47" s="88">
        <f t="shared" si="4"/>
        <v>45</v>
      </c>
      <c r="B47" s="89" t="s">
        <v>613</v>
      </c>
      <c r="C47" s="88">
        <v>4</v>
      </c>
      <c r="D47" s="89" t="s">
        <v>147</v>
      </c>
    </row>
    <row r="48" spans="1:16">
      <c r="A48" s="88">
        <f t="shared" si="4"/>
        <v>46</v>
      </c>
      <c r="B48" s="89" t="s">
        <v>615</v>
      </c>
      <c r="C48" s="88">
        <v>1</v>
      </c>
      <c r="D48" s="89" t="s">
        <v>147</v>
      </c>
    </row>
    <row r="49" spans="1:4">
      <c r="A49" s="88">
        <f t="shared" si="4"/>
        <v>47</v>
      </c>
      <c r="B49" s="89" t="s">
        <v>618</v>
      </c>
      <c r="C49" s="88">
        <v>1</v>
      </c>
      <c r="D49" s="89" t="s">
        <v>147</v>
      </c>
    </row>
    <row r="50" spans="1:4">
      <c r="A50" s="88">
        <f t="shared" si="4"/>
        <v>48</v>
      </c>
      <c r="B50" s="89" t="s">
        <v>621</v>
      </c>
      <c r="C50" s="88">
        <v>1</v>
      </c>
      <c r="D50" s="89" t="s">
        <v>147</v>
      </c>
    </row>
    <row r="51" spans="1:4">
      <c r="A51" s="88">
        <f t="shared" si="4"/>
        <v>49</v>
      </c>
      <c r="B51" s="89" t="s">
        <v>625</v>
      </c>
      <c r="C51" s="88">
        <f>L30</f>
        <v>1</v>
      </c>
      <c r="D51" s="89" t="s">
        <v>549</v>
      </c>
    </row>
    <row r="52" spans="1:4">
      <c r="A52" s="88">
        <f t="shared" si="4"/>
        <v>50</v>
      </c>
      <c r="B52" s="89" t="s">
        <v>273</v>
      </c>
      <c r="C52" s="88">
        <f>L31+P20</f>
        <v>3</v>
      </c>
      <c r="D52" s="89" t="s">
        <v>549</v>
      </c>
    </row>
    <row r="53" spans="1:4">
      <c r="A53" s="88">
        <f t="shared" si="4"/>
        <v>51</v>
      </c>
      <c r="B53" s="89" t="s">
        <v>274</v>
      </c>
      <c r="C53" s="88">
        <f>P17+L32</f>
        <v>2</v>
      </c>
      <c r="D53" s="89" t="s">
        <v>549</v>
      </c>
    </row>
    <row r="54" spans="1:4">
      <c r="A54" s="88">
        <f t="shared" si="4"/>
        <v>52</v>
      </c>
      <c r="B54" s="89" t="s">
        <v>627</v>
      </c>
      <c r="C54" s="88">
        <v>1</v>
      </c>
      <c r="D54" s="89" t="s">
        <v>549</v>
      </c>
    </row>
    <row r="55" spans="1:4">
      <c r="A55" s="88">
        <f t="shared" si="4"/>
        <v>53</v>
      </c>
      <c r="B55" s="89" t="s">
        <v>275</v>
      </c>
      <c r="C55" s="88">
        <v>2</v>
      </c>
      <c r="D55" s="89" t="s">
        <v>549</v>
      </c>
    </row>
    <row r="56" spans="1:4">
      <c r="A56" s="88">
        <f t="shared" si="4"/>
        <v>54</v>
      </c>
      <c r="B56" s="89" t="s">
        <v>631</v>
      </c>
      <c r="C56" s="88">
        <v>1</v>
      </c>
      <c r="D56" s="89" t="s">
        <v>549</v>
      </c>
    </row>
    <row r="57" spans="1:4">
      <c r="A57" s="88">
        <f t="shared" si="4"/>
        <v>55</v>
      </c>
      <c r="B57" s="89" t="s">
        <v>632</v>
      </c>
      <c r="C57" s="88">
        <f>L36+P37</f>
        <v>2</v>
      </c>
      <c r="D57" s="89" t="s">
        <v>147</v>
      </c>
    </row>
    <row r="58" spans="1:4">
      <c r="A58" s="88">
        <f t="shared" si="4"/>
        <v>56</v>
      </c>
      <c r="B58" s="89" t="s">
        <v>634</v>
      </c>
      <c r="C58" s="88">
        <v>1</v>
      </c>
      <c r="D58" s="89" t="s">
        <v>147</v>
      </c>
    </row>
    <row r="59" spans="1:4">
      <c r="A59" s="88">
        <f t="shared" si="4"/>
        <v>57</v>
      </c>
      <c r="B59" s="89" t="s">
        <v>546</v>
      </c>
      <c r="C59" s="88">
        <f>P3+T29</f>
        <v>3</v>
      </c>
      <c r="D59" s="89" t="s">
        <v>147</v>
      </c>
    </row>
    <row r="60" spans="1:4">
      <c r="A60" s="88">
        <f t="shared" si="4"/>
        <v>58</v>
      </c>
      <c r="B60" s="89" t="s">
        <v>555</v>
      </c>
      <c r="C60" s="88">
        <v>1</v>
      </c>
      <c r="D60" s="89" t="s">
        <v>549</v>
      </c>
    </row>
    <row r="61" spans="1:4">
      <c r="A61" s="88">
        <f t="shared" si="4"/>
        <v>59</v>
      </c>
      <c r="B61" s="89" t="s">
        <v>574</v>
      </c>
      <c r="C61" s="88">
        <v>2</v>
      </c>
      <c r="D61" s="89" t="s">
        <v>147</v>
      </c>
    </row>
    <row r="62" spans="1:4">
      <c r="A62" s="88">
        <f t="shared" si="4"/>
        <v>60</v>
      </c>
      <c r="B62" s="89" t="s">
        <v>580</v>
      </c>
      <c r="C62" s="88">
        <f>T5+P13+E43</f>
        <v>4</v>
      </c>
      <c r="D62" s="89" t="s">
        <v>147</v>
      </c>
    </row>
    <row r="63" spans="1:4">
      <c r="A63" s="88">
        <f t="shared" si="4"/>
        <v>61</v>
      </c>
      <c r="B63" s="89" t="s">
        <v>583</v>
      </c>
      <c r="C63" s="88">
        <v>1</v>
      </c>
      <c r="D63" s="89" t="s">
        <v>549</v>
      </c>
    </row>
    <row r="64" spans="1:4">
      <c r="A64" s="88">
        <f t="shared" si="4"/>
        <v>62</v>
      </c>
      <c r="B64" s="89" t="s">
        <v>586</v>
      </c>
      <c r="C64" s="88">
        <v>7</v>
      </c>
      <c r="D64" s="89" t="s">
        <v>549</v>
      </c>
    </row>
    <row r="65" spans="1:4">
      <c r="A65" s="88">
        <f t="shared" si="4"/>
        <v>63</v>
      </c>
      <c r="B65" s="89" t="s">
        <v>590</v>
      </c>
      <c r="C65" s="88">
        <f>L31+P16</f>
        <v>2</v>
      </c>
      <c r="D65" s="89" t="s">
        <v>549</v>
      </c>
    </row>
    <row r="66" spans="1:4">
      <c r="A66" s="88">
        <f t="shared" si="4"/>
        <v>64</v>
      </c>
      <c r="B66" s="89" t="s">
        <v>592</v>
      </c>
      <c r="C66" s="88">
        <v>1</v>
      </c>
      <c r="D66" s="89" t="s">
        <v>549</v>
      </c>
    </row>
    <row r="67" spans="1:4">
      <c r="A67" s="88">
        <f t="shared" si="4"/>
        <v>65</v>
      </c>
      <c r="B67" s="89" t="s">
        <v>594</v>
      </c>
      <c r="C67" s="88">
        <v>1</v>
      </c>
      <c r="D67" s="89" t="s">
        <v>549</v>
      </c>
    </row>
    <row r="68" spans="1:4">
      <c r="A68" s="88">
        <f t="shared" si="4"/>
        <v>66</v>
      </c>
      <c r="B68" s="89" t="s">
        <v>600</v>
      </c>
      <c r="C68" s="88">
        <v>7</v>
      </c>
      <c r="D68" s="89" t="s">
        <v>549</v>
      </c>
    </row>
    <row r="69" spans="1:4">
      <c r="A69" s="88">
        <f t="shared" si="4"/>
        <v>67</v>
      </c>
      <c r="B69" s="89" t="s">
        <v>560</v>
      </c>
      <c r="C69" s="88">
        <f>P25+T17+T6</f>
        <v>3</v>
      </c>
      <c r="D69" s="89" t="s">
        <v>549</v>
      </c>
    </row>
    <row r="70" spans="1:4">
      <c r="A70" s="88">
        <f t="shared" ref="A70:A94" si="12">A69+1</f>
        <v>68</v>
      </c>
      <c r="B70" s="89" t="s">
        <v>616</v>
      </c>
      <c r="C70" s="88">
        <v>1</v>
      </c>
      <c r="D70" s="89" t="s">
        <v>549</v>
      </c>
    </row>
    <row r="71" spans="1:4">
      <c r="A71" s="88">
        <f t="shared" si="12"/>
        <v>69</v>
      </c>
      <c r="B71" s="89" t="s">
        <v>619</v>
      </c>
      <c r="C71" s="88">
        <v>1</v>
      </c>
      <c r="D71" s="89" t="s">
        <v>549</v>
      </c>
    </row>
    <row r="72" spans="1:4">
      <c r="A72" s="88">
        <f t="shared" si="12"/>
        <v>70</v>
      </c>
      <c r="B72" s="89" t="s">
        <v>622</v>
      </c>
      <c r="C72" s="88">
        <v>1</v>
      </c>
      <c r="D72" s="89" t="s">
        <v>147</v>
      </c>
    </row>
    <row r="73" spans="1:4">
      <c r="A73" s="88">
        <f t="shared" si="12"/>
        <v>71</v>
      </c>
      <c r="B73" s="89" t="s">
        <v>628</v>
      </c>
      <c r="C73" s="88">
        <v>1</v>
      </c>
      <c r="D73" s="89" t="s">
        <v>549</v>
      </c>
    </row>
    <row r="74" spans="1:4">
      <c r="A74" s="88">
        <f t="shared" si="12"/>
        <v>72</v>
      </c>
      <c r="B74" s="89" t="s">
        <v>630</v>
      </c>
      <c r="C74" s="88">
        <v>1</v>
      </c>
      <c r="D74" s="89" t="s">
        <v>549</v>
      </c>
    </row>
    <row r="75" spans="1:4">
      <c r="A75" s="88">
        <f t="shared" si="12"/>
        <v>73</v>
      </c>
      <c r="B75" s="89" t="s">
        <v>290</v>
      </c>
      <c r="C75" s="88">
        <v>1</v>
      </c>
      <c r="D75" s="89" t="s">
        <v>549</v>
      </c>
    </row>
    <row r="76" spans="1:4">
      <c r="A76" s="88">
        <f t="shared" si="12"/>
        <v>74</v>
      </c>
      <c r="B76" s="89" t="s">
        <v>633</v>
      </c>
      <c r="C76" s="88">
        <v>1</v>
      </c>
      <c r="D76" s="89" t="s">
        <v>147</v>
      </c>
    </row>
    <row r="77" spans="1:4">
      <c r="A77" s="88">
        <f t="shared" si="12"/>
        <v>75</v>
      </c>
      <c r="B77" s="89" t="s">
        <v>635</v>
      </c>
      <c r="C77" s="88">
        <v>1</v>
      </c>
      <c r="D77" s="89" t="s">
        <v>147</v>
      </c>
    </row>
    <row r="78" spans="1:4">
      <c r="A78" s="88">
        <f t="shared" si="12"/>
        <v>76</v>
      </c>
      <c r="B78" s="89" t="s">
        <v>547</v>
      </c>
      <c r="C78" s="88">
        <v>1</v>
      </c>
      <c r="D78" s="89" t="s">
        <v>549</v>
      </c>
    </row>
    <row r="79" spans="1:4">
      <c r="A79" s="88">
        <f t="shared" si="12"/>
        <v>77</v>
      </c>
      <c r="B79" s="89" t="s">
        <v>552</v>
      </c>
      <c r="C79" s="88">
        <v>1</v>
      </c>
      <c r="D79" s="89" t="s">
        <v>549</v>
      </c>
    </row>
    <row r="80" spans="1:4">
      <c r="A80" s="88">
        <f t="shared" si="12"/>
        <v>78</v>
      </c>
      <c r="B80" s="89" t="s">
        <v>556</v>
      </c>
      <c r="C80" s="88">
        <v>3</v>
      </c>
      <c r="D80" s="89" t="s">
        <v>549</v>
      </c>
    </row>
    <row r="81" spans="1:4">
      <c r="A81" s="88">
        <f t="shared" si="12"/>
        <v>79</v>
      </c>
      <c r="B81" s="89" t="s">
        <v>561</v>
      </c>
      <c r="C81" s="88">
        <v>3</v>
      </c>
      <c r="D81" s="89" t="s">
        <v>147</v>
      </c>
    </row>
    <row r="82" spans="1:4">
      <c r="A82" s="88">
        <f t="shared" si="12"/>
        <v>80</v>
      </c>
      <c r="B82" s="89" t="s">
        <v>565</v>
      </c>
      <c r="C82" s="88">
        <v>1</v>
      </c>
      <c r="D82" s="89" t="s">
        <v>549</v>
      </c>
    </row>
    <row r="83" spans="1:4">
      <c r="A83" s="88">
        <f t="shared" si="12"/>
        <v>81</v>
      </c>
      <c r="B83" s="89" t="s">
        <v>568</v>
      </c>
      <c r="C83" s="88">
        <v>1</v>
      </c>
      <c r="D83" s="89" t="s">
        <v>549</v>
      </c>
    </row>
    <row r="84" spans="1:4">
      <c r="A84" s="88">
        <f t="shared" si="12"/>
        <v>82</v>
      </c>
      <c r="B84" s="89" t="s">
        <v>571</v>
      </c>
      <c r="C84" s="88">
        <v>1</v>
      </c>
      <c r="D84" s="89" t="s">
        <v>147</v>
      </c>
    </row>
    <row r="85" spans="1:4">
      <c r="A85" s="88">
        <f t="shared" si="12"/>
        <v>83</v>
      </c>
      <c r="B85" s="89" t="s">
        <v>314</v>
      </c>
      <c r="C85" s="88">
        <v>1</v>
      </c>
      <c r="D85" s="89" t="s">
        <v>549</v>
      </c>
    </row>
    <row r="86" spans="1:4">
      <c r="A86" s="88">
        <f t="shared" si="12"/>
        <v>84</v>
      </c>
      <c r="B86" s="89" t="s">
        <v>597</v>
      </c>
      <c r="C86" s="88">
        <v>1</v>
      </c>
      <c r="D86" s="89" t="s">
        <v>549</v>
      </c>
    </row>
    <row r="87" spans="1:4">
      <c r="A87" s="88">
        <f t="shared" si="12"/>
        <v>85</v>
      </c>
      <c r="B87" s="89" t="s">
        <v>601</v>
      </c>
      <c r="C87" s="88">
        <v>1</v>
      </c>
      <c r="D87" s="89" t="s">
        <v>549</v>
      </c>
    </row>
    <row r="88" spans="1:4">
      <c r="A88" s="88">
        <f t="shared" si="12"/>
        <v>86</v>
      </c>
      <c r="B88" s="89" t="s">
        <v>603</v>
      </c>
      <c r="C88" s="88">
        <v>9</v>
      </c>
      <c r="D88" s="89" t="s">
        <v>147</v>
      </c>
    </row>
    <row r="89" spans="1:4">
      <c r="A89" s="88">
        <f t="shared" si="12"/>
        <v>87</v>
      </c>
      <c r="B89" s="89" t="s">
        <v>608</v>
      </c>
      <c r="C89" s="88">
        <v>1</v>
      </c>
      <c r="D89" s="89" t="s">
        <v>147</v>
      </c>
    </row>
    <row r="90" spans="1:4">
      <c r="A90" s="88">
        <f t="shared" si="12"/>
        <v>88</v>
      </c>
      <c r="B90" s="89" t="s">
        <v>611</v>
      </c>
      <c r="C90" s="88">
        <v>1</v>
      </c>
      <c r="D90" s="89" t="s">
        <v>549</v>
      </c>
    </row>
    <row r="91" spans="1:4">
      <c r="A91" s="88">
        <f t="shared" si="12"/>
        <v>89</v>
      </c>
      <c r="B91" s="89" t="s">
        <v>392</v>
      </c>
      <c r="C91" s="88">
        <v>5</v>
      </c>
      <c r="D91" s="89" t="s">
        <v>147</v>
      </c>
    </row>
    <row r="92" spans="1:4">
      <c r="A92" s="88">
        <f t="shared" si="12"/>
        <v>90</v>
      </c>
      <c r="B92" s="89" t="s">
        <v>617</v>
      </c>
      <c r="C92" s="88">
        <v>4</v>
      </c>
      <c r="D92" s="89" t="s">
        <v>147</v>
      </c>
    </row>
    <row r="93" spans="1:4">
      <c r="A93" s="88">
        <f t="shared" si="12"/>
        <v>91</v>
      </c>
      <c r="B93" s="89" t="s">
        <v>620</v>
      </c>
      <c r="C93" s="88">
        <v>3</v>
      </c>
      <c r="D93" s="89" t="s">
        <v>147</v>
      </c>
    </row>
    <row r="94" spans="1:4">
      <c r="A94" s="95">
        <f t="shared" si="12"/>
        <v>92</v>
      </c>
      <c r="B94" s="96" t="s">
        <v>393</v>
      </c>
      <c r="C94" s="95">
        <v>1</v>
      </c>
      <c r="D94" s="89" t="s">
        <v>147</v>
      </c>
    </row>
    <row r="95" spans="1:4">
      <c r="A95" s="134" t="s">
        <v>636</v>
      </c>
      <c r="B95" s="134"/>
      <c r="C95" s="97">
        <f>SUM(C3:C94)</f>
        <v>223</v>
      </c>
      <c r="D95" s="98"/>
    </row>
  </sheetData>
  <mergeCells count="13">
    <mergeCell ref="N8:P8"/>
    <mergeCell ref="A1:D1"/>
    <mergeCell ref="F1:H1"/>
    <mergeCell ref="J1:L1"/>
    <mergeCell ref="N1:P1"/>
    <mergeCell ref="R1:T1"/>
    <mergeCell ref="A95:B95"/>
    <mergeCell ref="J14:L14"/>
    <mergeCell ref="R14:T14"/>
    <mergeCell ref="F15:H15"/>
    <mergeCell ref="N23:P23"/>
    <mergeCell ref="F29:H29"/>
    <mergeCell ref="N30:P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951D-EEAF-49A9-A3D6-F176DF4C712E}">
  <sheetPr>
    <pageSetUpPr fitToPage="1"/>
  </sheetPr>
  <dimension ref="C2:Q217"/>
  <sheetViews>
    <sheetView showGridLines="0" zoomScale="80" zoomScaleNormal="80" workbookViewId="0">
      <selection activeCell="I12" sqref="I12"/>
    </sheetView>
  </sheetViews>
  <sheetFormatPr defaultColWidth="11.453125" defaultRowHeight="18.5"/>
  <cols>
    <col min="1" max="2" width="3.7265625" style="51" customWidth="1"/>
    <col min="3" max="3" width="7.453125" style="54" customWidth="1"/>
    <col min="4" max="4" width="63.453125" style="51" customWidth="1"/>
    <col min="5" max="5" width="7.1796875" style="51" customWidth="1"/>
    <col min="6" max="6" width="8.1796875" style="83" customWidth="1"/>
    <col min="7" max="7" width="41.453125" style="52" customWidth="1"/>
    <col min="8" max="8" width="19" style="49" customWidth="1"/>
    <col min="9" max="9" width="27.26953125" style="49" bestFit="1" customWidth="1"/>
    <col min="10" max="10" width="24.81640625" style="49" customWidth="1"/>
    <col min="11" max="11" width="39" style="50" customWidth="1"/>
    <col min="12" max="12" width="21.453125" style="51" bestFit="1" customWidth="1"/>
    <col min="13" max="13" width="17.453125" style="52" customWidth="1"/>
    <col min="14" max="14" width="11.7265625" style="51" customWidth="1"/>
    <col min="15" max="15" width="17.453125" style="52" customWidth="1"/>
    <col min="16" max="16" width="11.7265625" style="51" customWidth="1"/>
    <col min="17" max="17" width="17.453125" style="52" customWidth="1"/>
    <col min="18" max="19" width="9.1796875" style="51" customWidth="1"/>
    <col min="20" max="20" width="18" style="51" customWidth="1"/>
    <col min="21" max="256" width="11.453125" style="51"/>
    <col min="257" max="258" width="3.7265625" style="51" customWidth="1"/>
    <col min="259" max="259" width="7.453125" style="51" customWidth="1"/>
    <col min="260" max="260" width="63.453125" style="51" customWidth="1"/>
    <col min="261" max="261" width="7.1796875" style="51" customWidth="1"/>
    <col min="262" max="262" width="8.1796875" style="51" customWidth="1"/>
    <col min="263" max="263" width="41.453125" style="51" customWidth="1"/>
    <col min="264" max="264" width="19" style="51" customWidth="1"/>
    <col min="265" max="265" width="27.26953125" style="51" bestFit="1" customWidth="1"/>
    <col min="266" max="266" width="24.81640625" style="51" customWidth="1"/>
    <col min="267" max="267" width="39" style="51" customWidth="1"/>
    <col min="268" max="268" width="21.453125" style="51" bestFit="1" customWidth="1"/>
    <col min="269" max="269" width="17.453125" style="51" customWidth="1"/>
    <col min="270" max="270" width="11.7265625" style="51" customWidth="1"/>
    <col min="271" max="271" width="17.453125" style="51" customWidth="1"/>
    <col min="272" max="272" width="11.7265625" style="51" customWidth="1"/>
    <col min="273" max="273" width="17.453125" style="51" customWidth="1"/>
    <col min="274" max="275" width="9.1796875" style="51" customWidth="1"/>
    <col min="276" max="276" width="18" style="51" customWidth="1"/>
    <col min="277" max="512" width="11.453125" style="51"/>
    <col min="513" max="514" width="3.7265625" style="51" customWidth="1"/>
    <col min="515" max="515" width="7.453125" style="51" customWidth="1"/>
    <col min="516" max="516" width="63.453125" style="51" customWidth="1"/>
    <col min="517" max="517" width="7.1796875" style="51" customWidth="1"/>
    <col min="518" max="518" width="8.1796875" style="51" customWidth="1"/>
    <col min="519" max="519" width="41.453125" style="51" customWidth="1"/>
    <col min="520" max="520" width="19" style="51" customWidth="1"/>
    <col min="521" max="521" width="27.26953125" style="51" bestFit="1" customWidth="1"/>
    <col min="522" max="522" width="24.81640625" style="51" customWidth="1"/>
    <col min="523" max="523" width="39" style="51" customWidth="1"/>
    <col min="524" max="524" width="21.453125" style="51" bestFit="1" customWidth="1"/>
    <col min="525" max="525" width="17.453125" style="51" customWidth="1"/>
    <col min="526" max="526" width="11.7265625" style="51" customWidth="1"/>
    <col min="527" max="527" width="17.453125" style="51" customWidth="1"/>
    <col min="528" max="528" width="11.7265625" style="51" customWidth="1"/>
    <col min="529" max="529" width="17.453125" style="51" customWidth="1"/>
    <col min="530" max="531" width="9.1796875" style="51" customWidth="1"/>
    <col min="532" max="532" width="18" style="51" customWidth="1"/>
    <col min="533" max="768" width="11.453125" style="51"/>
    <col min="769" max="770" width="3.7265625" style="51" customWidth="1"/>
    <col min="771" max="771" width="7.453125" style="51" customWidth="1"/>
    <col min="772" max="772" width="63.453125" style="51" customWidth="1"/>
    <col min="773" max="773" width="7.1796875" style="51" customWidth="1"/>
    <col min="774" max="774" width="8.1796875" style="51" customWidth="1"/>
    <col min="775" max="775" width="41.453125" style="51" customWidth="1"/>
    <col min="776" max="776" width="19" style="51" customWidth="1"/>
    <col min="777" max="777" width="27.26953125" style="51" bestFit="1" customWidth="1"/>
    <col min="778" max="778" width="24.81640625" style="51" customWidth="1"/>
    <col min="779" max="779" width="39" style="51" customWidth="1"/>
    <col min="780" max="780" width="21.453125" style="51" bestFit="1" customWidth="1"/>
    <col min="781" max="781" width="17.453125" style="51" customWidth="1"/>
    <col min="782" max="782" width="11.7265625" style="51" customWidth="1"/>
    <col min="783" max="783" width="17.453125" style="51" customWidth="1"/>
    <col min="784" max="784" width="11.7265625" style="51" customWidth="1"/>
    <col min="785" max="785" width="17.453125" style="51" customWidth="1"/>
    <col min="786" max="787" width="9.1796875" style="51" customWidth="1"/>
    <col min="788" max="788" width="18" style="51" customWidth="1"/>
    <col min="789" max="1024" width="11.453125" style="51"/>
    <col min="1025" max="1026" width="3.7265625" style="51" customWidth="1"/>
    <col min="1027" max="1027" width="7.453125" style="51" customWidth="1"/>
    <col min="1028" max="1028" width="63.453125" style="51" customWidth="1"/>
    <col min="1029" max="1029" width="7.1796875" style="51" customWidth="1"/>
    <col min="1030" max="1030" width="8.1796875" style="51" customWidth="1"/>
    <col min="1031" max="1031" width="41.453125" style="51" customWidth="1"/>
    <col min="1032" max="1032" width="19" style="51" customWidth="1"/>
    <col min="1033" max="1033" width="27.26953125" style="51" bestFit="1" customWidth="1"/>
    <col min="1034" max="1034" width="24.81640625" style="51" customWidth="1"/>
    <col min="1035" max="1035" width="39" style="51" customWidth="1"/>
    <col min="1036" max="1036" width="21.453125" style="51" bestFit="1" customWidth="1"/>
    <col min="1037" max="1037" width="17.453125" style="51" customWidth="1"/>
    <col min="1038" max="1038" width="11.7265625" style="51" customWidth="1"/>
    <col min="1039" max="1039" width="17.453125" style="51" customWidth="1"/>
    <col min="1040" max="1040" width="11.7265625" style="51" customWidth="1"/>
    <col min="1041" max="1041" width="17.453125" style="51" customWidth="1"/>
    <col min="1042" max="1043" width="9.1796875" style="51" customWidth="1"/>
    <col min="1044" max="1044" width="18" style="51" customWidth="1"/>
    <col min="1045" max="1280" width="11.453125" style="51"/>
    <col min="1281" max="1282" width="3.7265625" style="51" customWidth="1"/>
    <col min="1283" max="1283" width="7.453125" style="51" customWidth="1"/>
    <col min="1284" max="1284" width="63.453125" style="51" customWidth="1"/>
    <col min="1285" max="1285" width="7.1796875" style="51" customWidth="1"/>
    <col min="1286" max="1286" width="8.1796875" style="51" customWidth="1"/>
    <col min="1287" max="1287" width="41.453125" style="51" customWidth="1"/>
    <col min="1288" max="1288" width="19" style="51" customWidth="1"/>
    <col min="1289" max="1289" width="27.26953125" style="51" bestFit="1" customWidth="1"/>
    <col min="1290" max="1290" width="24.81640625" style="51" customWidth="1"/>
    <col min="1291" max="1291" width="39" style="51" customWidth="1"/>
    <col min="1292" max="1292" width="21.453125" style="51" bestFit="1" customWidth="1"/>
    <col min="1293" max="1293" width="17.453125" style="51" customWidth="1"/>
    <col min="1294" max="1294" width="11.7265625" style="51" customWidth="1"/>
    <col min="1295" max="1295" width="17.453125" style="51" customWidth="1"/>
    <col min="1296" max="1296" width="11.7265625" style="51" customWidth="1"/>
    <col min="1297" max="1297" width="17.453125" style="51" customWidth="1"/>
    <col min="1298" max="1299" width="9.1796875" style="51" customWidth="1"/>
    <col min="1300" max="1300" width="18" style="51" customWidth="1"/>
    <col min="1301" max="1536" width="11.453125" style="51"/>
    <col min="1537" max="1538" width="3.7265625" style="51" customWidth="1"/>
    <col min="1539" max="1539" width="7.453125" style="51" customWidth="1"/>
    <col min="1540" max="1540" width="63.453125" style="51" customWidth="1"/>
    <col min="1541" max="1541" width="7.1796875" style="51" customWidth="1"/>
    <col min="1542" max="1542" width="8.1796875" style="51" customWidth="1"/>
    <col min="1543" max="1543" width="41.453125" style="51" customWidth="1"/>
    <col min="1544" max="1544" width="19" style="51" customWidth="1"/>
    <col min="1545" max="1545" width="27.26953125" style="51" bestFit="1" customWidth="1"/>
    <col min="1546" max="1546" width="24.81640625" style="51" customWidth="1"/>
    <col min="1547" max="1547" width="39" style="51" customWidth="1"/>
    <col min="1548" max="1548" width="21.453125" style="51" bestFit="1" customWidth="1"/>
    <col min="1549" max="1549" width="17.453125" style="51" customWidth="1"/>
    <col min="1550" max="1550" width="11.7265625" style="51" customWidth="1"/>
    <col min="1551" max="1551" width="17.453125" style="51" customWidth="1"/>
    <col min="1552" max="1552" width="11.7265625" style="51" customWidth="1"/>
    <col min="1553" max="1553" width="17.453125" style="51" customWidth="1"/>
    <col min="1554" max="1555" width="9.1796875" style="51" customWidth="1"/>
    <col min="1556" max="1556" width="18" style="51" customWidth="1"/>
    <col min="1557" max="1792" width="11.453125" style="51"/>
    <col min="1793" max="1794" width="3.7265625" style="51" customWidth="1"/>
    <col min="1795" max="1795" width="7.453125" style="51" customWidth="1"/>
    <col min="1796" max="1796" width="63.453125" style="51" customWidth="1"/>
    <col min="1797" max="1797" width="7.1796875" style="51" customWidth="1"/>
    <col min="1798" max="1798" width="8.1796875" style="51" customWidth="1"/>
    <col min="1799" max="1799" width="41.453125" style="51" customWidth="1"/>
    <col min="1800" max="1800" width="19" style="51" customWidth="1"/>
    <col min="1801" max="1801" width="27.26953125" style="51" bestFit="1" customWidth="1"/>
    <col min="1802" max="1802" width="24.81640625" style="51" customWidth="1"/>
    <col min="1803" max="1803" width="39" style="51" customWidth="1"/>
    <col min="1804" max="1804" width="21.453125" style="51" bestFit="1" customWidth="1"/>
    <col min="1805" max="1805" width="17.453125" style="51" customWidth="1"/>
    <col min="1806" max="1806" width="11.7265625" style="51" customWidth="1"/>
    <col min="1807" max="1807" width="17.453125" style="51" customWidth="1"/>
    <col min="1808" max="1808" width="11.7265625" style="51" customWidth="1"/>
    <col min="1809" max="1809" width="17.453125" style="51" customWidth="1"/>
    <col min="1810" max="1811" width="9.1796875" style="51" customWidth="1"/>
    <col min="1812" max="1812" width="18" style="51" customWidth="1"/>
    <col min="1813" max="2048" width="11.453125" style="51"/>
    <col min="2049" max="2050" width="3.7265625" style="51" customWidth="1"/>
    <col min="2051" max="2051" width="7.453125" style="51" customWidth="1"/>
    <col min="2052" max="2052" width="63.453125" style="51" customWidth="1"/>
    <col min="2053" max="2053" width="7.1796875" style="51" customWidth="1"/>
    <col min="2054" max="2054" width="8.1796875" style="51" customWidth="1"/>
    <col min="2055" max="2055" width="41.453125" style="51" customWidth="1"/>
    <col min="2056" max="2056" width="19" style="51" customWidth="1"/>
    <col min="2057" max="2057" width="27.26953125" style="51" bestFit="1" customWidth="1"/>
    <col min="2058" max="2058" width="24.81640625" style="51" customWidth="1"/>
    <col min="2059" max="2059" width="39" style="51" customWidth="1"/>
    <col min="2060" max="2060" width="21.453125" style="51" bestFit="1" customWidth="1"/>
    <col min="2061" max="2061" width="17.453125" style="51" customWidth="1"/>
    <col min="2062" max="2062" width="11.7265625" style="51" customWidth="1"/>
    <col min="2063" max="2063" width="17.453125" style="51" customWidth="1"/>
    <col min="2064" max="2064" width="11.7265625" style="51" customWidth="1"/>
    <col min="2065" max="2065" width="17.453125" style="51" customWidth="1"/>
    <col min="2066" max="2067" width="9.1796875" style="51" customWidth="1"/>
    <col min="2068" max="2068" width="18" style="51" customWidth="1"/>
    <col min="2069" max="2304" width="11.453125" style="51"/>
    <col min="2305" max="2306" width="3.7265625" style="51" customWidth="1"/>
    <col min="2307" max="2307" width="7.453125" style="51" customWidth="1"/>
    <col min="2308" max="2308" width="63.453125" style="51" customWidth="1"/>
    <col min="2309" max="2309" width="7.1796875" style="51" customWidth="1"/>
    <col min="2310" max="2310" width="8.1796875" style="51" customWidth="1"/>
    <col min="2311" max="2311" width="41.453125" style="51" customWidth="1"/>
    <col min="2312" max="2312" width="19" style="51" customWidth="1"/>
    <col min="2313" max="2313" width="27.26953125" style="51" bestFit="1" customWidth="1"/>
    <col min="2314" max="2314" width="24.81640625" style="51" customWidth="1"/>
    <col min="2315" max="2315" width="39" style="51" customWidth="1"/>
    <col min="2316" max="2316" width="21.453125" style="51" bestFit="1" customWidth="1"/>
    <col min="2317" max="2317" width="17.453125" style="51" customWidth="1"/>
    <col min="2318" max="2318" width="11.7265625" style="51" customWidth="1"/>
    <col min="2319" max="2319" width="17.453125" style="51" customWidth="1"/>
    <col min="2320" max="2320" width="11.7265625" style="51" customWidth="1"/>
    <col min="2321" max="2321" width="17.453125" style="51" customWidth="1"/>
    <col min="2322" max="2323" width="9.1796875" style="51" customWidth="1"/>
    <col min="2324" max="2324" width="18" style="51" customWidth="1"/>
    <col min="2325" max="2560" width="11.453125" style="51"/>
    <col min="2561" max="2562" width="3.7265625" style="51" customWidth="1"/>
    <col min="2563" max="2563" width="7.453125" style="51" customWidth="1"/>
    <col min="2564" max="2564" width="63.453125" style="51" customWidth="1"/>
    <col min="2565" max="2565" width="7.1796875" style="51" customWidth="1"/>
    <col min="2566" max="2566" width="8.1796875" style="51" customWidth="1"/>
    <col min="2567" max="2567" width="41.453125" style="51" customWidth="1"/>
    <col min="2568" max="2568" width="19" style="51" customWidth="1"/>
    <col min="2569" max="2569" width="27.26953125" style="51" bestFit="1" customWidth="1"/>
    <col min="2570" max="2570" width="24.81640625" style="51" customWidth="1"/>
    <col min="2571" max="2571" width="39" style="51" customWidth="1"/>
    <col min="2572" max="2572" width="21.453125" style="51" bestFit="1" customWidth="1"/>
    <col min="2573" max="2573" width="17.453125" style="51" customWidth="1"/>
    <col min="2574" max="2574" width="11.7265625" style="51" customWidth="1"/>
    <col min="2575" max="2575" width="17.453125" style="51" customWidth="1"/>
    <col min="2576" max="2576" width="11.7265625" style="51" customWidth="1"/>
    <col min="2577" max="2577" width="17.453125" style="51" customWidth="1"/>
    <col min="2578" max="2579" width="9.1796875" style="51" customWidth="1"/>
    <col min="2580" max="2580" width="18" style="51" customWidth="1"/>
    <col min="2581" max="2816" width="11.453125" style="51"/>
    <col min="2817" max="2818" width="3.7265625" style="51" customWidth="1"/>
    <col min="2819" max="2819" width="7.453125" style="51" customWidth="1"/>
    <col min="2820" max="2820" width="63.453125" style="51" customWidth="1"/>
    <col min="2821" max="2821" width="7.1796875" style="51" customWidth="1"/>
    <col min="2822" max="2822" width="8.1796875" style="51" customWidth="1"/>
    <col min="2823" max="2823" width="41.453125" style="51" customWidth="1"/>
    <col min="2824" max="2824" width="19" style="51" customWidth="1"/>
    <col min="2825" max="2825" width="27.26953125" style="51" bestFit="1" customWidth="1"/>
    <col min="2826" max="2826" width="24.81640625" style="51" customWidth="1"/>
    <col min="2827" max="2827" width="39" style="51" customWidth="1"/>
    <col min="2828" max="2828" width="21.453125" style="51" bestFit="1" customWidth="1"/>
    <col min="2829" max="2829" width="17.453125" style="51" customWidth="1"/>
    <col min="2830" max="2830" width="11.7265625" style="51" customWidth="1"/>
    <col min="2831" max="2831" width="17.453125" style="51" customWidth="1"/>
    <col min="2832" max="2832" width="11.7265625" style="51" customWidth="1"/>
    <col min="2833" max="2833" width="17.453125" style="51" customWidth="1"/>
    <col min="2834" max="2835" width="9.1796875" style="51" customWidth="1"/>
    <col min="2836" max="2836" width="18" style="51" customWidth="1"/>
    <col min="2837" max="3072" width="11.453125" style="51"/>
    <col min="3073" max="3074" width="3.7265625" style="51" customWidth="1"/>
    <col min="3075" max="3075" width="7.453125" style="51" customWidth="1"/>
    <col min="3076" max="3076" width="63.453125" style="51" customWidth="1"/>
    <col min="3077" max="3077" width="7.1796875" style="51" customWidth="1"/>
    <col min="3078" max="3078" width="8.1796875" style="51" customWidth="1"/>
    <col min="3079" max="3079" width="41.453125" style="51" customWidth="1"/>
    <col min="3080" max="3080" width="19" style="51" customWidth="1"/>
    <col min="3081" max="3081" width="27.26953125" style="51" bestFit="1" customWidth="1"/>
    <col min="3082" max="3082" width="24.81640625" style="51" customWidth="1"/>
    <col min="3083" max="3083" width="39" style="51" customWidth="1"/>
    <col min="3084" max="3084" width="21.453125" style="51" bestFit="1" customWidth="1"/>
    <col min="3085" max="3085" width="17.453125" style="51" customWidth="1"/>
    <col min="3086" max="3086" width="11.7265625" style="51" customWidth="1"/>
    <col min="3087" max="3087" width="17.453125" style="51" customWidth="1"/>
    <col min="3088" max="3088" width="11.7265625" style="51" customWidth="1"/>
    <col min="3089" max="3089" width="17.453125" style="51" customWidth="1"/>
    <col min="3090" max="3091" width="9.1796875" style="51" customWidth="1"/>
    <col min="3092" max="3092" width="18" style="51" customWidth="1"/>
    <col min="3093" max="3328" width="11.453125" style="51"/>
    <col min="3329" max="3330" width="3.7265625" style="51" customWidth="1"/>
    <col min="3331" max="3331" width="7.453125" style="51" customWidth="1"/>
    <col min="3332" max="3332" width="63.453125" style="51" customWidth="1"/>
    <col min="3333" max="3333" width="7.1796875" style="51" customWidth="1"/>
    <col min="3334" max="3334" width="8.1796875" style="51" customWidth="1"/>
    <col min="3335" max="3335" width="41.453125" style="51" customWidth="1"/>
    <col min="3336" max="3336" width="19" style="51" customWidth="1"/>
    <col min="3337" max="3337" width="27.26953125" style="51" bestFit="1" customWidth="1"/>
    <col min="3338" max="3338" width="24.81640625" style="51" customWidth="1"/>
    <col min="3339" max="3339" width="39" style="51" customWidth="1"/>
    <col min="3340" max="3340" width="21.453125" style="51" bestFit="1" customWidth="1"/>
    <col min="3341" max="3341" width="17.453125" style="51" customWidth="1"/>
    <col min="3342" max="3342" width="11.7265625" style="51" customWidth="1"/>
    <col min="3343" max="3343" width="17.453125" style="51" customWidth="1"/>
    <col min="3344" max="3344" width="11.7265625" style="51" customWidth="1"/>
    <col min="3345" max="3345" width="17.453125" style="51" customWidth="1"/>
    <col min="3346" max="3347" width="9.1796875" style="51" customWidth="1"/>
    <col min="3348" max="3348" width="18" style="51" customWidth="1"/>
    <col min="3349" max="3584" width="11.453125" style="51"/>
    <col min="3585" max="3586" width="3.7265625" style="51" customWidth="1"/>
    <col min="3587" max="3587" width="7.453125" style="51" customWidth="1"/>
    <col min="3588" max="3588" width="63.453125" style="51" customWidth="1"/>
    <col min="3589" max="3589" width="7.1796875" style="51" customWidth="1"/>
    <col min="3590" max="3590" width="8.1796875" style="51" customWidth="1"/>
    <col min="3591" max="3591" width="41.453125" style="51" customWidth="1"/>
    <col min="3592" max="3592" width="19" style="51" customWidth="1"/>
    <col min="3593" max="3593" width="27.26953125" style="51" bestFit="1" customWidth="1"/>
    <col min="3594" max="3594" width="24.81640625" style="51" customWidth="1"/>
    <col min="3595" max="3595" width="39" style="51" customWidth="1"/>
    <col min="3596" max="3596" width="21.453125" style="51" bestFit="1" customWidth="1"/>
    <col min="3597" max="3597" width="17.453125" style="51" customWidth="1"/>
    <col min="3598" max="3598" width="11.7265625" style="51" customWidth="1"/>
    <col min="3599" max="3599" width="17.453125" style="51" customWidth="1"/>
    <col min="3600" max="3600" width="11.7265625" style="51" customWidth="1"/>
    <col min="3601" max="3601" width="17.453125" style="51" customWidth="1"/>
    <col min="3602" max="3603" width="9.1796875" style="51" customWidth="1"/>
    <col min="3604" max="3604" width="18" style="51" customWidth="1"/>
    <col min="3605" max="3840" width="11.453125" style="51"/>
    <col min="3841" max="3842" width="3.7265625" style="51" customWidth="1"/>
    <col min="3843" max="3843" width="7.453125" style="51" customWidth="1"/>
    <col min="3844" max="3844" width="63.453125" style="51" customWidth="1"/>
    <col min="3845" max="3845" width="7.1796875" style="51" customWidth="1"/>
    <col min="3846" max="3846" width="8.1796875" style="51" customWidth="1"/>
    <col min="3847" max="3847" width="41.453125" style="51" customWidth="1"/>
    <col min="3848" max="3848" width="19" style="51" customWidth="1"/>
    <col min="3849" max="3849" width="27.26953125" style="51" bestFit="1" customWidth="1"/>
    <col min="3850" max="3850" width="24.81640625" style="51" customWidth="1"/>
    <col min="3851" max="3851" width="39" style="51" customWidth="1"/>
    <col min="3852" max="3852" width="21.453125" style="51" bestFit="1" customWidth="1"/>
    <col min="3853" max="3853" width="17.453125" style="51" customWidth="1"/>
    <col min="3854" max="3854" width="11.7265625" style="51" customWidth="1"/>
    <col min="3855" max="3855" width="17.453125" style="51" customWidth="1"/>
    <col min="3856" max="3856" width="11.7265625" style="51" customWidth="1"/>
    <col min="3857" max="3857" width="17.453125" style="51" customWidth="1"/>
    <col min="3858" max="3859" width="9.1796875" style="51" customWidth="1"/>
    <col min="3860" max="3860" width="18" style="51" customWidth="1"/>
    <col min="3861" max="4096" width="11.453125" style="51"/>
    <col min="4097" max="4098" width="3.7265625" style="51" customWidth="1"/>
    <col min="4099" max="4099" width="7.453125" style="51" customWidth="1"/>
    <col min="4100" max="4100" width="63.453125" style="51" customWidth="1"/>
    <col min="4101" max="4101" width="7.1796875" style="51" customWidth="1"/>
    <col min="4102" max="4102" width="8.1796875" style="51" customWidth="1"/>
    <col min="4103" max="4103" width="41.453125" style="51" customWidth="1"/>
    <col min="4104" max="4104" width="19" style="51" customWidth="1"/>
    <col min="4105" max="4105" width="27.26953125" style="51" bestFit="1" customWidth="1"/>
    <col min="4106" max="4106" width="24.81640625" style="51" customWidth="1"/>
    <col min="4107" max="4107" width="39" style="51" customWidth="1"/>
    <col min="4108" max="4108" width="21.453125" style="51" bestFit="1" customWidth="1"/>
    <col min="4109" max="4109" width="17.453125" style="51" customWidth="1"/>
    <col min="4110" max="4110" width="11.7265625" style="51" customWidth="1"/>
    <col min="4111" max="4111" width="17.453125" style="51" customWidth="1"/>
    <col min="4112" max="4112" width="11.7265625" style="51" customWidth="1"/>
    <col min="4113" max="4113" width="17.453125" style="51" customWidth="1"/>
    <col min="4114" max="4115" width="9.1796875" style="51" customWidth="1"/>
    <col min="4116" max="4116" width="18" style="51" customWidth="1"/>
    <col min="4117" max="4352" width="11.453125" style="51"/>
    <col min="4353" max="4354" width="3.7265625" style="51" customWidth="1"/>
    <col min="4355" max="4355" width="7.453125" style="51" customWidth="1"/>
    <col min="4356" max="4356" width="63.453125" style="51" customWidth="1"/>
    <col min="4357" max="4357" width="7.1796875" style="51" customWidth="1"/>
    <col min="4358" max="4358" width="8.1796875" style="51" customWidth="1"/>
    <col min="4359" max="4359" width="41.453125" style="51" customWidth="1"/>
    <col min="4360" max="4360" width="19" style="51" customWidth="1"/>
    <col min="4361" max="4361" width="27.26953125" style="51" bestFit="1" customWidth="1"/>
    <col min="4362" max="4362" width="24.81640625" style="51" customWidth="1"/>
    <col min="4363" max="4363" width="39" style="51" customWidth="1"/>
    <col min="4364" max="4364" width="21.453125" style="51" bestFit="1" customWidth="1"/>
    <col min="4365" max="4365" width="17.453125" style="51" customWidth="1"/>
    <col min="4366" max="4366" width="11.7265625" style="51" customWidth="1"/>
    <col min="4367" max="4367" width="17.453125" style="51" customWidth="1"/>
    <col min="4368" max="4368" width="11.7265625" style="51" customWidth="1"/>
    <col min="4369" max="4369" width="17.453125" style="51" customWidth="1"/>
    <col min="4370" max="4371" width="9.1796875" style="51" customWidth="1"/>
    <col min="4372" max="4372" width="18" style="51" customWidth="1"/>
    <col min="4373" max="4608" width="11.453125" style="51"/>
    <col min="4609" max="4610" width="3.7265625" style="51" customWidth="1"/>
    <col min="4611" max="4611" width="7.453125" style="51" customWidth="1"/>
    <col min="4612" max="4612" width="63.453125" style="51" customWidth="1"/>
    <col min="4613" max="4613" width="7.1796875" style="51" customWidth="1"/>
    <col min="4614" max="4614" width="8.1796875" style="51" customWidth="1"/>
    <col min="4615" max="4615" width="41.453125" style="51" customWidth="1"/>
    <col min="4616" max="4616" width="19" style="51" customWidth="1"/>
    <col min="4617" max="4617" width="27.26953125" style="51" bestFit="1" customWidth="1"/>
    <col min="4618" max="4618" width="24.81640625" style="51" customWidth="1"/>
    <col min="4619" max="4619" width="39" style="51" customWidth="1"/>
    <col min="4620" max="4620" width="21.453125" style="51" bestFit="1" customWidth="1"/>
    <col min="4621" max="4621" width="17.453125" style="51" customWidth="1"/>
    <col min="4622" max="4622" width="11.7265625" style="51" customWidth="1"/>
    <col min="4623" max="4623" width="17.453125" style="51" customWidth="1"/>
    <col min="4624" max="4624" width="11.7265625" style="51" customWidth="1"/>
    <col min="4625" max="4625" width="17.453125" style="51" customWidth="1"/>
    <col min="4626" max="4627" width="9.1796875" style="51" customWidth="1"/>
    <col min="4628" max="4628" width="18" style="51" customWidth="1"/>
    <col min="4629" max="4864" width="11.453125" style="51"/>
    <col min="4865" max="4866" width="3.7265625" style="51" customWidth="1"/>
    <col min="4867" max="4867" width="7.453125" style="51" customWidth="1"/>
    <col min="4868" max="4868" width="63.453125" style="51" customWidth="1"/>
    <col min="4869" max="4869" width="7.1796875" style="51" customWidth="1"/>
    <col min="4870" max="4870" width="8.1796875" style="51" customWidth="1"/>
    <col min="4871" max="4871" width="41.453125" style="51" customWidth="1"/>
    <col min="4872" max="4872" width="19" style="51" customWidth="1"/>
    <col min="4873" max="4873" width="27.26953125" style="51" bestFit="1" customWidth="1"/>
    <col min="4874" max="4874" width="24.81640625" style="51" customWidth="1"/>
    <col min="4875" max="4875" width="39" style="51" customWidth="1"/>
    <col min="4876" max="4876" width="21.453125" style="51" bestFit="1" customWidth="1"/>
    <col min="4877" max="4877" width="17.453125" style="51" customWidth="1"/>
    <col min="4878" max="4878" width="11.7265625" style="51" customWidth="1"/>
    <col min="4879" max="4879" width="17.453125" style="51" customWidth="1"/>
    <col min="4880" max="4880" width="11.7265625" style="51" customWidth="1"/>
    <col min="4881" max="4881" width="17.453125" style="51" customWidth="1"/>
    <col min="4882" max="4883" width="9.1796875" style="51" customWidth="1"/>
    <col min="4884" max="4884" width="18" style="51" customWidth="1"/>
    <col min="4885" max="5120" width="11.453125" style="51"/>
    <col min="5121" max="5122" width="3.7265625" style="51" customWidth="1"/>
    <col min="5123" max="5123" width="7.453125" style="51" customWidth="1"/>
    <col min="5124" max="5124" width="63.453125" style="51" customWidth="1"/>
    <col min="5125" max="5125" width="7.1796875" style="51" customWidth="1"/>
    <col min="5126" max="5126" width="8.1796875" style="51" customWidth="1"/>
    <col min="5127" max="5127" width="41.453125" style="51" customWidth="1"/>
    <col min="5128" max="5128" width="19" style="51" customWidth="1"/>
    <col min="5129" max="5129" width="27.26953125" style="51" bestFit="1" customWidth="1"/>
    <col min="5130" max="5130" width="24.81640625" style="51" customWidth="1"/>
    <col min="5131" max="5131" width="39" style="51" customWidth="1"/>
    <col min="5132" max="5132" width="21.453125" style="51" bestFit="1" customWidth="1"/>
    <col min="5133" max="5133" width="17.453125" style="51" customWidth="1"/>
    <col min="5134" max="5134" width="11.7265625" style="51" customWidth="1"/>
    <col min="5135" max="5135" width="17.453125" style="51" customWidth="1"/>
    <col min="5136" max="5136" width="11.7265625" style="51" customWidth="1"/>
    <col min="5137" max="5137" width="17.453125" style="51" customWidth="1"/>
    <col min="5138" max="5139" width="9.1796875" style="51" customWidth="1"/>
    <col min="5140" max="5140" width="18" style="51" customWidth="1"/>
    <col min="5141" max="5376" width="11.453125" style="51"/>
    <col min="5377" max="5378" width="3.7265625" style="51" customWidth="1"/>
    <col min="5379" max="5379" width="7.453125" style="51" customWidth="1"/>
    <col min="5380" max="5380" width="63.453125" style="51" customWidth="1"/>
    <col min="5381" max="5381" width="7.1796875" style="51" customWidth="1"/>
    <col min="5382" max="5382" width="8.1796875" style="51" customWidth="1"/>
    <col min="5383" max="5383" width="41.453125" style="51" customWidth="1"/>
    <col min="5384" max="5384" width="19" style="51" customWidth="1"/>
    <col min="5385" max="5385" width="27.26953125" style="51" bestFit="1" customWidth="1"/>
    <col min="5386" max="5386" width="24.81640625" style="51" customWidth="1"/>
    <col min="5387" max="5387" width="39" style="51" customWidth="1"/>
    <col min="5388" max="5388" width="21.453125" style="51" bestFit="1" customWidth="1"/>
    <col min="5389" max="5389" width="17.453125" style="51" customWidth="1"/>
    <col min="5390" max="5390" width="11.7265625" style="51" customWidth="1"/>
    <col min="5391" max="5391" width="17.453125" style="51" customWidth="1"/>
    <col min="5392" max="5392" width="11.7265625" style="51" customWidth="1"/>
    <col min="5393" max="5393" width="17.453125" style="51" customWidth="1"/>
    <col min="5394" max="5395" width="9.1796875" style="51" customWidth="1"/>
    <col min="5396" max="5396" width="18" style="51" customWidth="1"/>
    <col min="5397" max="5632" width="11.453125" style="51"/>
    <col min="5633" max="5634" width="3.7265625" style="51" customWidth="1"/>
    <col min="5635" max="5635" width="7.453125" style="51" customWidth="1"/>
    <col min="5636" max="5636" width="63.453125" style="51" customWidth="1"/>
    <col min="5637" max="5637" width="7.1796875" style="51" customWidth="1"/>
    <col min="5638" max="5638" width="8.1796875" style="51" customWidth="1"/>
    <col min="5639" max="5639" width="41.453125" style="51" customWidth="1"/>
    <col min="5640" max="5640" width="19" style="51" customWidth="1"/>
    <col min="5641" max="5641" width="27.26953125" style="51" bestFit="1" customWidth="1"/>
    <col min="5642" max="5642" width="24.81640625" style="51" customWidth="1"/>
    <col min="5643" max="5643" width="39" style="51" customWidth="1"/>
    <col min="5644" max="5644" width="21.453125" style="51" bestFit="1" customWidth="1"/>
    <col min="5645" max="5645" width="17.453125" style="51" customWidth="1"/>
    <col min="5646" max="5646" width="11.7265625" style="51" customWidth="1"/>
    <col min="5647" max="5647" width="17.453125" style="51" customWidth="1"/>
    <col min="5648" max="5648" width="11.7265625" style="51" customWidth="1"/>
    <col min="5649" max="5649" width="17.453125" style="51" customWidth="1"/>
    <col min="5650" max="5651" width="9.1796875" style="51" customWidth="1"/>
    <col min="5652" max="5652" width="18" style="51" customWidth="1"/>
    <col min="5653" max="5888" width="11.453125" style="51"/>
    <col min="5889" max="5890" width="3.7265625" style="51" customWidth="1"/>
    <col min="5891" max="5891" width="7.453125" style="51" customWidth="1"/>
    <col min="5892" max="5892" width="63.453125" style="51" customWidth="1"/>
    <col min="5893" max="5893" width="7.1796875" style="51" customWidth="1"/>
    <col min="5894" max="5894" width="8.1796875" style="51" customWidth="1"/>
    <col min="5895" max="5895" width="41.453125" style="51" customWidth="1"/>
    <col min="5896" max="5896" width="19" style="51" customWidth="1"/>
    <col min="5897" max="5897" width="27.26953125" style="51" bestFit="1" customWidth="1"/>
    <col min="5898" max="5898" width="24.81640625" style="51" customWidth="1"/>
    <col min="5899" max="5899" width="39" style="51" customWidth="1"/>
    <col min="5900" max="5900" width="21.453125" style="51" bestFit="1" customWidth="1"/>
    <col min="5901" max="5901" width="17.453125" style="51" customWidth="1"/>
    <col min="5902" max="5902" width="11.7265625" style="51" customWidth="1"/>
    <col min="5903" max="5903" width="17.453125" style="51" customWidth="1"/>
    <col min="5904" max="5904" width="11.7265625" style="51" customWidth="1"/>
    <col min="5905" max="5905" width="17.453125" style="51" customWidth="1"/>
    <col min="5906" max="5907" width="9.1796875" style="51" customWidth="1"/>
    <col min="5908" max="5908" width="18" style="51" customWidth="1"/>
    <col min="5909" max="6144" width="11.453125" style="51"/>
    <col min="6145" max="6146" width="3.7265625" style="51" customWidth="1"/>
    <col min="6147" max="6147" width="7.453125" style="51" customWidth="1"/>
    <col min="6148" max="6148" width="63.453125" style="51" customWidth="1"/>
    <col min="6149" max="6149" width="7.1796875" style="51" customWidth="1"/>
    <col min="6150" max="6150" width="8.1796875" style="51" customWidth="1"/>
    <col min="6151" max="6151" width="41.453125" style="51" customWidth="1"/>
    <col min="6152" max="6152" width="19" style="51" customWidth="1"/>
    <col min="6153" max="6153" width="27.26953125" style="51" bestFit="1" customWidth="1"/>
    <col min="6154" max="6154" width="24.81640625" style="51" customWidth="1"/>
    <col min="6155" max="6155" width="39" style="51" customWidth="1"/>
    <col min="6156" max="6156" width="21.453125" style="51" bestFit="1" customWidth="1"/>
    <col min="6157" max="6157" width="17.453125" style="51" customWidth="1"/>
    <col min="6158" max="6158" width="11.7265625" style="51" customWidth="1"/>
    <col min="6159" max="6159" width="17.453125" style="51" customWidth="1"/>
    <col min="6160" max="6160" width="11.7265625" style="51" customWidth="1"/>
    <col min="6161" max="6161" width="17.453125" style="51" customWidth="1"/>
    <col min="6162" max="6163" width="9.1796875" style="51" customWidth="1"/>
    <col min="6164" max="6164" width="18" style="51" customWidth="1"/>
    <col min="6165" max="6400" width="11.453125" style="51"/>
    <col min="6401" max="6402" width="3.7265625" style="51" customWidth="1"/>
    <col min="6403" max="6403" width="7.453125" style="51" customWidth="1"/>
    <col min="6404" max="6404" width="63.453125" style="51" customWidth="1"/>
    <col min="6405" max="6405" width="7.1796875" style="51" customWidth="1"/>
    <col min="6406" max="6406" width="8.1796875" style="51" customWidth="1"/>
    <col min="6407" max="6407" width="41.453125" style="51" customWidth="1"/>
    <col min="6408" max="6408" width="19" style="51" customWidth="1"/>
    <col min="6409" max="6409" width="27.26953125" style="51" bestFit="1" customWidth="1"/>
    <col min="6410" max="6410" width="24.81640625" style="51" customWidth="1"/>
    <col min="6411" max="6411" width="39" style="51" customWidth="1"/>
    <col min="6412" max="6412" width="21.453125" style="51" bestFit="1" customWidth="1"/>
    <col min="6413" max="6413" width="17.453125" style="51" customWidth="1"/>
    <col min="6414" max="6414" width="11.7265625" style="51" customWidth="1"/>
    <col min="6415" max="6415" width="17.453125" style="51" customWidth="1"/>
    <col min="6416" max="6416" width="11.7265625" style="51" customWidth="1"/>
    <col min="6417" max="6417" width="17.453125" style="51" customWidth="1"/>
    <col min="6418" max="6419" width="9.1796875" style="51" customWidth="1"/>
    <col min="6420" max="6420" width="18" style="51" customWidth="1"/>
    <col min="6421" max="6656" width="11.453125" style="51"/>
    <col min="6657" max="6658" width="3.7265625" style="51" customWidth="1"/>
    <col min="6659" max="6659" width="7.453125" style="51" customWidth="1"/>
    <col min="6660" max="6660" width="63.453125" style="51" customWidth="1"/>
    <col min="6661" max="6661" width="7.1796875" style="51" customWidth="1"/>
    <col min="6662" max="6662" width="8.1796875" style="51" customWidth="1"/>
    <col min="6663" max="6663" width="41.453125" style="51" customWidth="1"/>
    <col min="6664" max="6664" width="19" style="51" customWidth="1"/>
    <col min="6665" max="6665" width="27.26953125" style="51" bestFit="1" customWidth="1"/>
    <col min="6666" max="6666" width="24.81640625" style="51" customWidth="1"/>
    <col min="6667" max="6667" width="39" style="51" customWidth="1"/>
    <col min="6668" max="6668" width="21.453125" style="51" bestFit="1" customWidth="1"/>
    <col min="6669" max="6669" width="17.453125" style="51" customWidth="1"/>
    <col min="6670" max="6670" width="11.7265625" style="51" customWidth="1"/>
    <col min="6671" max="6671" width="17.453125" style="51" customWidth="1"/>
    <col min="6672" max="6672" width="11.7265625" style="51" customWidth="1"/>
    <col min="6673" max="6673" width="17.453125" style="51" customWidth="1"/>
    <col min="6674" max="6675" width="9.1796875" style="51" customWidth="1"/>
    <col min="6676" max="6676" width="18" style="51" customWidth="1"/>
    <col min="6677" max="6912" width="11.453125" style="51"/>
    <col min="6913" max="6914" width="3.7265625" style="51" customWidth="1"/>
    <col min="6915" max="6915" width="7.453125" style="51" customWidth="1"/>
    <col min="6916" max="6916" width="63.453125" style="51" customWidth="1"/>
    <col min="6917" max="6917" width="7.1796875" style="51" customWidth="1"/>
    <col min="6918" max="6918" width="8.1796875" style="51" customWidth="1"/>
    <col min="6919" max="6919" width="41.453125" style="51" customWidth="1"/>
    <col min="6920" max="6920" width="19" style="51" customWidth="1"/>
    <col min="6921" max="6921" width="27.26953125" style="51" bestFit="1" customWidth="1"/>
    <col min="6922" max="6922" width="24.81640625" style="51" customWidth="1"/>
    <col min="6923" max="6923" width="39" style="51" customWidth="1"/>
    <col min="6924" max="6924" width="21.453125" style="51" bestFit="1" customWidth="1"/>
    <col min="6925" max="6925" width="17.453125" style="51" customWidth="1"/>
    <col min="6926" max="6926" width="11.7265625" style="51" customWidth="1"/>
    <col min="6927" max="6927" width="17.453125" style="51" customWidth="1"/>
    <col min="6928" max="6928" width="11.7265625" style="51" customWidth="1"/>
    <col min="6929" max="6929" width="17.453125" style="51" customWidth="1"/>
    <col min="6930" max="6931" width="9.1796875" style="51" customWidth="1"/>
    <col min="6932" max="6932" width="18" style="51" customWidth="1"/>
    <col min="6933" max="7168" width="11.453125" style="51"/>
    <col min="7169" max="7170" width="3.7265625" style="51" customWidth="1"/>
    <col min="7171" max="7171" width="7.453125" style="51" customWidth="1"/>
    <col min="7172" max="7172" width="63.453125" style="51" customWidth="1"/>
    <col min="7173" max="7173" width="7.1796875" style="51" customWidth="1"/>
    <col min="7174" max="7174" width="8.1796875" style="51" customWidth="1"/>
    <col min="7175" max="7175" width="41.453125" style="51" customWidth="1"/>
    <col min="7176" max="7176" width="19" style="51" customWidth="1"/>
    <col min="7177" max="7177" width="27.26953125" style="51" bestFit="1" customWidth="1"/>
    <col min="7178" max="7178" width="24.81640625" style="51" customWidth="1"/>
    <col min="7179" max="7179" width="39" style="51" customWidth="1"/>
    <col min="7180" max="7180" width="21.453125" style="51" bestFit="1" customWidth="1"/>
    <col min="7181" max="7181" width="17.453125" style="51" customWidth="1"/>
    <col min="7182" max="7182" width="11.7265625" style="51" customWidth="1"/>
    <col min="7183" max="7183" width="17.453125" style="51" customWidth="1"/>
    <col min="7184" max="7184" width="11.7265625" style="51" customWidth="1"/>
    <col min="7185" max="7185" width="17.453125" style="51" customWidth="1"/>
    <col min="7186" max="7187" width="9.1796875" style="51" customWidth="1"/>
    <col min="7188" max="7188" width="18" style="51" customWidth="1"/>
    <col min="7189" max="7424" width="11.453125" style="51"/>
    <col min="7425" max="7426" width="3.7265625" style="51" customWidth="1"/>
    <col min="7427" max="7427" width="7.453125" style="51" customWidth="1"/>
    <col min="7428" max="7428" width="63.453125" style="51" customWidth="1"/>
    <col min="7429" max="7429" width="7.1796875" style="51" customWidth="1"/>
    <col min="7430" max="7430" width="8.1796875" style="51" customWidth="1"/>
    <col min="7431" max="7431" width="41.453125" style="51" customWidth="1"/>
    <col min="7432" max="7432" width="19" style="51" customWidth="1"/>
    <col min="7433" max="7433" width="27.26953125" style="51" bestFit="1" customWidth="1"/>
    <col min="7434" max="7434" width="24.81640625" style="51" customWidth="1"/>
    <col min="7435" max="7435" width="39" style="51" customWidth="1"/>
    <col min="7436" max="7436" width="21.453125" style="51" bestFit="1" customWidth="1"/>
    <col min="7437" max="7437" width="17.453125" style="51" customWidth="1"/>
    <col min="7438" max="7438" width="11.7265625" style="51" customWidth="1"/>
    <col min="7439" max="7439" width="17.453125" style="51" customWidth="1"/>
    <col min="7440" max="7440" width="11.7265625" style="51" customWidth="1"/>
    <col min="7441" max="7441" width="17.453125" style="51" customWidth="1"/>
    <col min="7442" max="7443" width="9.1796875" style="51" customWidth="1"/>
    <col min="7444" max="7444" width="18" style="51" customWidth="1"/>
    <col min="7445" max="7680" width="11.453125" style="51"/>
    <col min="7681" max="7682" width="3.7265625" style="51" customWidth="1"/>
    <col min="7683" max="7683" width="7.453125" style="51" customWidth="1"/>
    <col min="7684" max="7684" width="63.453125" style="51" customWidth="1"/>
    <col min="7685" max="7685" width="7.1796875" style="51" customWidth="1"/>
    <col min="7686" max="7686" width="8.1796875" style="51" customWidth="1"/>
    <col min="7687" max="7687" width="41.453125" style="51" customWidth="1"/>
    <col min="7688" max="7688" width="19" style="51" customWidth="1"/>
    <col min="7689" max="7689" width="27.26953125" style="51" bestFit="1" customWidth="1"/>
    <col min="7690" max="7690" width="24.81640625" style="51" customWidth="1"/>
    <col min="7691" max="7691" width="39" style="51" customWidth="1"/>
    <col min="7692" max="7692" width="21.453125" style="51" bestFit="1" customWidth="1"/>
    <col min="7693" max="7693" width="17.453125" style="51" customWidth="1"/>
    <col min="7694" max="7694" width="11.7265625" style="51" customWidth="1"/>
    <col min="7695" max="7695" width="17.453125" style="51" customWidth="1"/>
    <col min="7696" max="7696" width="11.7265625" style="51" customWidth="1"/>
    <col min="7697" max="7697" width="17.453125" style="51" customWidth="1"/>
    <col min="7698" max="7699" width="9.1796875" style="51" customWidth="1"/>
    <col min="7700" max="7700" width="18" style="51" customWidth="1"/>
    <col min="7701" max="7936" width="11.453125" style="51"/>
    <col min="7937" max="7938" width="3.7265625" style="51" customWidth="1"/>
    <col min="7939" max="7939" width="7.453125" style="51" customWidth="1"/>
    <col min="7940" max="7940" width="63.453125" style="51" customWidth="1"/>
    <col min="7941" max="7941" width="7.1796875" style="51" customWidth="1"/>
    <col min="7942" max="7942" width="8.1796875" style="51" customWidth="1"/>
    <col min="7943" max="7943" width="41.453125" style="51" customWidth="1"/>
    <col min="7944" max="7944" width="19" style="51" customWidth="1"/>
    <col min="7945" max="7945" width="27.26953125" style="51" bestFit="1" customWidth="1"/>
    <col min="7946" max="7946" width="24.81640625" style="51" customWidth="1"/>
    <col min="7947" max="7947" width="39" style="51" customWidth="1"/>
    <col min="7948" max="7948" width="21.453125" style="51" bestFit="1" customWidth="1"/>
    <col min="7949" max="7949" width="17.453125" style="51" customWidth="1"/>
    <col min="7950" max="7950" width="11.7265625" style="51" customWidth="1"/>
    <col min="7951" max="7951" width="17.453125" style="51" customWidth="1"/>
    <col min="7952" max="7952" width="11.7265625" style="51" customWidth="1"/>
    <col min="7953" max="7953" width="17.453125" style="51" customWidth="1"/>
    <col min="7954" max="7955" width="9.1796875" style="51" customWidth="1"/>
    <col min="7956" max="7956" width="18" style="51" customWidth="1"/>
    <col min="7957" max="8192" width="11.453125" style="51"/>
    <col min="8193" max="8194" width="3.7265625" style="51" customWidth="1"/>
    <col min="8195" max="8195" width="7.453125" style="51" customWidth="1"/>
    <col min="8196" max="8196" width="63.453125" style="51" customWidth="1"/>
    <col min="8197" max="8197" width="7.1796875" style="51" customWidth="1"/>
    <col min="8198" max="8198" width="8.1796875" style="51" customWidth="1"/>
    <col min="8199" max="8199" width="41.453125" style="51" customWidth="1"/>
    <col min="8200" max="8200" width="19" style="51" customWidth="1"/>
    <col min="8201" max="8201" width="27.26953125" style="51" bestFit="1" customWidth="1"/>
    <col min="8202" max="8202" width="24.81640625" style="51" customWidth="1"/>
    <col min="8203" max="8203" width="39" style="51" customWidth="1"/>
    <col min="8204" max="8204" width="21.453125" style="51" bestFit="1" customWidth="1"/>
    <col min="8205" max="8205" width="17.453125" style="51" customWidth="1"/>
    <col min="8206" max="8206" width="11.7265625" style="51" customWidth="1"/>
    <col min="8207" max="8207" width="17.453125" style="51" customWidth="1"/>
    <col min="8208" max="8208" width="11.7265625" style="51" customWidth="1"/>
    <col min="8209" max="8209" width="17.453125" style="51" customWidth="1"/>
    <col min="8210" max="8211" width="9.1796875" style="51" customWidth="1"/>
    <col min="8212" max="8212" width="18" style="51" customWidth="1"/>
    <col min="8213" max="8448" width="11.453125" style="51"/>
    <col min="8449" max="8450" width="3.7265625" style="51" customWidth="1"/>
    <col min="8451" max="8451" width="7.453125" style="51" customWidth="1"/>
    <col min="8452" max="8452" width="63.453125" style="51" customWidth="1"/>
    <col min="8453" max="8453" width="7.1796875" style="51" customWidth="1"/>
    <col min="8454" max="8454" width="8.1796875" style="51" customWidth="1"/>
    <col min="8455" max="8455" width="41.453125" style="51" customWidth="1"/>
    <col min="8456" max="8456" width="19" style="51" customWidth="1"/>
    <col min="8457" max="8457" width="27.26953125" style="51" bestFit="1" customWidth="1"/>
    <col min="8458" max="8458" width="24.81640625" style="51" customWidth="1"/>
    <col min="8459" max="8459" width="39" style="51" customWidth="1"/>
    <col min="8460" max="8460" width="21.453125" style="51" bestFit="1" customWidth="1"/>
    <col min="8461" max="8461" width="17.453125" style="51" customWidth="1"/>
    <col min="8462" max="8462" width="11.7265625" style="51" customWidth="1"/>
    <col min="8463" max="8463" width="17.453125" style="51" customWidth="1"/>
    <col min="8464" max="8464" width="11.7265625" style="51" customWidth="1"/>
    <col min="8465" max="8465" width="17.453125" style="51" customWidth="1"/>
    <col min="8466" max="8467" width="9.1796875" style="51" customWidth="1"/>
    <col min="8468" max="8468" width="18" style="51" customWidth="1"/>
    <col min="8469" max="8704" width="11.453125" style="51"/>
    <col min="8705" max="8706" width="3.7265625" style="51" customWidth="1"/>
    <col min="8707" max="8707" width="7.453125" style="51" customWidth="1"/>
    <col min="8708" max="8708" width="63.453125" style="51" customWidth="1"/>
    <col min="8709" max="8709" width="7.1796875" style="51" customWidth="1"/>
    <col min="8710" max="8710" width="8.1796875" style="51" customWidth="1"/>
    <col min="8711" max="8711" width="41.453125" style="51" customWidth="1"/>
    <col min="8712" max="8712" width="19" style="51" customWidth="1"/>
    <col min="8713" max="8713" width="27.26953125" style="51" bestFit="1" customWidth="1"/>
    <col min="8714" max="8714" width="24.81640625" style="51" customWidth="1"/>
    <col min="8715" max="8715" width="39" style="51" customWidth="1"/>
    <col min="8716" max="8716" width="21.453125" style="51" bestFit="1" customWidth="1"/>
    <col min="8717" max="8717" width="17.453125" style="51" customWidth="1"/>
    <col min="8718" max="8718" width="11.7265625" style="51" customWidth="1"/>
    <col min="8719" max="8719" width="17.453125" style="51" customWidth="1"/>
    <col min="8720" max="8720" width="11.7265625" style="51" customWidth="1"/>
    <col min="8721" max="8721" width="17.453125" style="51" customWidth="1"/>
    <col min="8722" max="8723" width="9.1796875" style="51" customWidth="1"/>
    <col min="8724" max="8724" width="18" style="51" customWidth="1"/>
    <col min="8725" max="8960" width="11.453125" style="51"/>
    <col min="8961" max="8962" width="3.7265625" style="51" customWidth="1"/>
    <col min="8963" max="8963" width="7.453125" style="51" customWidth="1"/>
    <col min="8964" max="8964" width="63.453125" style="51" customWidth="1"/>
    <col min="8965" max="8965" width="7.1796875" style="51" customWidth="1"/>
    <col min="8966" max="8966" width="8.1796875" style="51" customWidth="1"/>
    <col min="8967" max="8967" width="41.453125" style="51" customWidth="1"/>
    <col min="8968" max="8968" width="19" style="51" customWidth="1"/>
    <col min="8969" max="8969" width="27.26953125" style="51" bestFit="1" customWidth="1"/>
    <col min="8970" max="8970" width="24.81640625" style="51" customWidth="1"/>
    <col min="8971" max="8971" width="39" style="51" customWidth="1"/>
    <col min="8972" max="8972" width="21.453125" style="51" bestFit="1" customWidth="1"/>
    <col min="8973" max="8973" width="17.453125" style="51" customWidth="1"/>
    <col min="8974" max="8974" width="11.7265625" style="51" customWidth="1"/>
    <col min="8975" max="8975" width="17.453125" style="51" customWidth="1"/>
    <col min="8976" max="8976" width="11.7265625" style="51" customWidth="1"/>
    <col min="8977" max="8977" width="17.453125" style="51" customWidth="1"/>
    <col min="8978" max="8979" width="9.1796875" style="51" customWidth="1"/>
    <col min="8980" max="8980" width="18" style="51" customWidth="1"/>
    <col min="8981" max="9216" width="11.453125" style="51"/>
    <col min="9217" max="9218" width="3.7265625" style="51" customWidth="1"/>
    <col min="9219" max="9219" width="7.453125" style="51" customWidth="1"/>
    <col min="9220" max="9220" width="63.453125" style="51" customWidth="1"/>
    <col min="9221" max="9221" width="7.1796875" style="51" customWidth="1"/>
    <col min="9222" max="9222" width="8.1796875" style="51" customWidth="1"/>
    <col min="9223" max="9223" width="41.453125" style="51" customWidth="1"/>
    <col min="9224" max="9224" width="19" style="51" customWidth="1"/>
    <col min="9225" max="9225" width="27.26953125" style="51" bestFit="1" customWidth="1"/>
    <col min="9226" max="9226" width="24.81640625" style="51" customWidth="1"/>
    <col min="9227" max="9227" width="39" style="51" customWidth="1"/>
    <col min="9228" max="9228" width="21.453125" style="51" bestFit="1" customWidth="1"/>
    <col min="9229" max="9229" width="17.453125" style="51" customWidth="1"/>
    <col min="9230" max="9230" width="11.7265625" style="51" customWidth="1"/>
    <col min="9231" max="9231" width="17.453125" style="51" customWidth="1"/>
    <col min="9232" max="9232" width="11.7265625" style="51" customWidth="1"/>
    <col min="9233" max="9233" width="17.453125" style="51" customWidth="1"/>
    <col min="9234" max="9235" width="9.1796875" style="51" customWidth="1"/>
    <col min="9236" max="9236" width="18" style="51" customWidth="1"/>
    <col min="9237" max="9472" width="11.453125" style="51"/>
    <col min="9473" max="9474" width="3.7265625" style="51" customWidth="1"/>
    <col min="9475" max="9475" width="7.453125" style="51" customWidth="1"/>
    <col min="9476" max="9476" width="63.453125" style="51" customWidth="1"/>
    <col min="9477" max="9477" width="7.1796875" style="51" customWidth="1"/>
    <col min="9478" max="9478" width="8.1796875" style="51" customWidth="1"/>
    <col min="9479" max="9479" width="41.453125" style="51" customWidth="1"/>
    <col min="9480" max="9480" width="19" style="51" customWidth="1"/>
    <col min="9481" max="9481" width="27.26953125" style="51" bestFit="1" customWidth="1"/>
    <col min="9482" max="9482" width="24.81640625" style="51" customWidth="1"/>
    <col min="9483" max="9483" width="39" style="51" customWidth="1"/>
    <col min="9484" max="9484" width="21.453125" style="51" bestFit="1" customWidth="1"/>
    <col min="9485" max="9485" width="17.453125" style="51" customWidth="1"/>
    <col min="9486" max="9486" width="11.7265625" style="51" customWidth="1"/>
    <col min="9487" max="9487" width="17.453125" style="51" customWidth="1"/>
    <col min="9488" max="9488" width="11.7265625" style="51" customWidth="1"/>
    <col min="9489" max="9489" width="17.453125" style="51" customWidth="1"/>
    <col min="9490" max="9491" width="9.1796875" style="51" customWidth="1"/>
    <col min="9492" max="9492" width="18" style="51" customWidth="1"/>
    <col min="9493" max="9728" width="11.453125" style="51"/>
    <col min="9729" max="9730" width="3.7265625" style="51" customWidth="1"/>
    <col min="9731" max="9731" width="7.453125" style="51" customWidth="1"/>
    <col min="9732" max="9732" width="63.453125" style="51" customWidth="1"/>
    <col min="9733" max="9733" width="7.1796875" style="51" customWidth="1"/>
    <col min="9734" max="9734" width="8.1796875" style="51" customWidth="1"/>
    <col min="9735" max="9735" width="41.453125" style="51" customWidth="1"/>
    <col min="9736" max="9736" width="19" style="51" customWidth="1"/>
    <col min="9737" max="9737" width="27.26953125" style="51" bestFit="1" customWidth="1"/>
    <col min="9738" max="9738" width="24.81640625" style="51" customWidth="1"/>
    <col min="9739" max="9739" width="39" style="51" customWidth="1"/>
    <col min="9740" max="9740" width="21.453125" style="51" bestFit="1" customWidth="1"/>
    <col min="9741" max="9741" width="17.453125" style="51" customWidth="1"/>
    <col min="9742" max="9742" width="11.7265625" style="51" customWidth="1"/>
    <col min="9743" max="9743" width="17.453125" style="51" customWidth="1"/>
    <col min="9744" max="9744" width="11.7265625" style="51" customWidth="1"/>
    <col min="9745" max="9745" width="17.453125" style="51" customWidth="1"/>
    <col min="9746" max="9747" width="9.1796875" style="51" customWidth="1"/>
    <col min="9748" max="9748" width="18" style="51" customWidth="1"/>
    <col min="9749" max="9984" width="11.453125" style="51"/>
    <col min="9985" max="9986" width="3.7265625" style="51" customWidth="1"/>
    <col min="9987" max="9987" width="7.453125" style="51" customWidth="1"/>
    <col min="9988" max="9988" width="63.453125" style="51" customWidth="1"/>
    <col min="9989" max="9989" width="7.1796875" style="51" customWidth="1"/>
    <col min="9990" max="9990" width="8.1796875" style="51" customWidth="1"/>
    <col min="9991" max="9991" width="41.453125" style="51" customWidth="1"/>
    <col min="9992" max="9992" width="19" style="51" customWidth="1"/>
    <col min="9993" max="9993" width="27.26953125" style="51" bestFit="1" customWidth="1"/>
    <col min="9994" max="9994" width="24.81640625" style="51" customWidth="1"/>
    <col min="9995" max="9995" width="39" style="51" customWidth="1"/>
    <col min="9996" max="9996" width="21.453125" style="51" bestFit="1" customWidth="1"/>
    <col min="9997" max="9997" width="17.453125" style="51" customWidth="1"/>
    <col min="9998" max="9998" width="11.7265625" style="51" customWidth="1"/>
    <col min="9999" max="9999" width="17.453125" style="51" customWidth="1"/>
    <col min="10000" max="10000" width="11.7265625" style="51" customWidth="1"/>
    <col min="10001" max="10001" width="17.453125" style="51" customWidth="1"/>
    <col min="10002" max="10003" width="9.1796875" style="51" customWidth="1"/>
    <col min="10004" max="10004" width="18" style="51" customWidth="1"/>
    <col min="10005" max="10240" width="11.453125" style="51"/>
    <col min="10241" max="10242" width="3.7265625" style="51" customWidth="1"/>
    <col min="10243" max="10243" width="7.453125" style="51" customWidth="1"/>
    <col min="10244" max="10244" width="63.453125" style="51" customWidth="1"/>
    <col min="10245" max="10245" width="7.1796875" style="51" customWidth="1"/>
    <col min="10246" max="10246" width="8.1796875" style="51" customWidth="1"/>
    <col min="10247" max="10247" width="41.453125" style="51" customWidth="1"/>
    <col min="10248" max="10248" width="19" style="51" customWidth="1"/>
    <col min="10249" max="10249" width="27.26953125" style="51" bestFit="1" customWidth="1"/>
    <col min="10250" max="10250" width="24.81640625" style="51" customWidth="1"/>
    <col min="10251" max="10251" width="39" style="51" customWidth="1"/>
    <col min="10252" max="10252" width="21.453125" style="51" bestFit="1" customWidth="1"/>
    <col min="10253" max="10253" width="17.453125" style="51" customWidth="1"/>
    <col min="10254" max="10254" width="11.7265625" style="51" customWidth="1"/>
    <col min="10255" max="10255" width="17.453125" style="51" customWidth="1"/>
    <col min="10256" max="10256" width="11.7265625" style="51" customWidth="1"/>
    <col min="10257" max="10257" width="17.453125" style="51" customWidth="1"/>
    <col min="10258" max="10259" width="9.1796875" style="51" customWidth="1"/>
    <col min="10260" max="10260" width="18" style="51" customWidth="1"/>
    <col min="10261" max="10496" width="11.453125" style="51"/>
    <col min="10497" max="10498" width="3.7265625" style="51" customWidth="1"/>
    <col min="10499" max="10499" width="7.453125" style="51" customWidth="1"/>
    <col min="10500" max="10500" width="63.453125" style="51" customWidth="1"/>
    <col min="10501" max="10501" width="7.1796875" style="51" customWidth="1"/>
    <col min="10502" max="10502" width="8.1796875" style="51" customWidth="1"/>
    <col min="10503" max="10503" width="41.453125" style="51" customWidth="1"/>
    <col min="10504" max="10504" width="19" style="51" customWidth="1"/>
    <col min="10505" max="10505" width="27.26953125" style="51" bestFit="1" customWidth="1"/>
    <col min="10506" max="10506" width="24.81640625" style="51" customWidth="1"/>
    <col min="10507" max="10507" width="39" style="51" customWidth="1"/>
    <col min="10508" max="10508" width="21.453125" style="51" bestFit="1" customWidth="1"/>
    <col min="10509" max="10509" width="17.453125" style="51" customWidth="1"/>
    <col min="10510" max="10510" width="11.7265625" style="51" customWidth="1"/>
    <col min="10511" max="10511" width="17.453125" style="51" customWidth="1"/>
    <col min="10512" max="10512" width="11.7265625" style="51" customWidth="1"/>
    <col min="10513" max="10513" width="17.453125" style="51" customWidth="1"/>
    <col min="10514" max="10515" width="9.1796875" style="51" customWidth="1"/>
    <col min="10516" max="10516" width="18" style="51" customWidth="1"/>
    <col min="10517" max="10752" width="11.453125" style="51"/>
    <col min="10753" max="10754" width="3.7265625" style="51" customWidth="1"/>
    <col min="10755" max="10755" width="7.453125" style="51" customWidth="1"/>
    <col min="10756" max="10756" width="63.453125" style="51" customWidth="1"/>
    <col min="10757" max="10757" width="7.1796875" style="51" customWidth="1"/>
    <col min="10758" max="10758" width="8.1796875" style="51" customWidth="1"/>
    <col min="10759" max="10759" width="41.453125" style="51" customWidth="1"/>
    <col min="10760" max="10760" width="19" style="51" customWidth="1"/>
    <col min="10761" max="10761" width="27.26953125" style="51" bestFit="1" customWidth="1"/>
    <col min="10762" max="10762" width="24.81640625" style="51" customWidth="1"/>
    <col min="10763" max="10763" width="39" style="51" customWidth="1"/>
    <col min="10764" max="10764" width="21.453125" style="51" bestFit="1" customWidth="1"/>
    <col min="10765" max="10765" width="17.453125" style="51" customWidth="1"/>
    <col min="10766" max="10766" width="11.7265625" style="51" customWidth="1"/>
    <col min="10767" max="10767" width="17.453125" style="51" customWidth="1"/>
    <col min="10768" max="10768" width="11.7265625" style="51" customWidth="1"/>
    <col min="10769" max="10769" width="17.453125" style="51" customWidth="1"/>
    <col min="10770" max="10771" width="9.1796875" style="51" customWidth="1"/>
    <col min="10772" max="10772" width="18" style="51" customWidth="1"/>
    <col min="10773" max="11008" width="11.453125" style="51"/>
    <col min="11009" max="11010" width="3.7265625" style="51" customWidth="1"/>
    <col min="11011" max="11011" width="7.453125" style="51" customWidth="1"/>
    <col min="11012" max="11012" width="63.453125" style="51" customWidth="1"/>
    <col min="11013" max="11013" width="7.1796875" style="51" customWidth="1"/>
    <col min="11014" max="11014" width="8.1796875" style="51" customWidth="1"/>
    <col min="11015" max="11015" width="41.453125" style="51" customWidth="1"/>
    <col min="11016" max="11016" width="19" style="51" customWidth="1"/>
    <col min="11017" max="11017" width="27.26953125" style="51" bestFit="1" customWidth="1"/>
    <col min="11018" max="11018" width="24.81640625" style="51" customWidth="1"/>
    <col min="11019" max="11019" width="39" style="51" customWidth="1"/>
    <col min="11020" max="11020" width="21.453125" style="51" bestFit="1" customWidth="1"/>
    <col min="11021" max="11021" width="17.453125" style="51" customWidth="1"/>
    <col min="11022" max="11022" width="11.7265625" style="51" customWidth="1"/>
    <col min="11023" max="11023" width="17.453125" style="51" customWidth="1"/>
    <col min="11024" max="11024" width="11.7265625" style="51" customWidth="1"/>
    <col min="11025" max="11025" width="17.453125" style="51" customWidth="1"/>
    <col min="11026" max="11027" width="9.1796875" style="51" customWidth="1"/>
    <col min="11028" max="11028" width="18" style="51" customWidth="1"/>
    <col min="11029" max="11264" width="11.453125" style="51"/>
    <col min="11265" max="11266" width="3.7265625" style="51" customWidth="1"/>
    <col min="11267" max="11267" width="7.453125" style="51" customWidth="1"/>
    <col min="11268" max="11268" width="63.453125" style="51" customWidth="1"/>
    <col min="11269" max="11269" width="7.1796875" style="51" customWidth="1"/>
    <col min="11270" max="11270" width="8.1796875" style="51" customWidth="1"/>
    <col min="11271" max="11271" width="41.453125" style="51" customWidth="1"/>
    <col min="11272" max="11272" width="19" style="51" customWidth="1"/>
    <col min="11273" max="11273" width="27.26953125" style="51" bestFit="1" customWidth="1"/>
    <col min="11274" max="11274" width="24.81640625" style="51" customWidth="1"/>
    <col min="11275" max="11275" width="39" style="51" customWidth="1"/>
    <col min="11276" max="11276" width="21.453125" style="51" bestFit="1" customWidth="1"/>
    <col min="11277" max="11277" width="17.453125" style="51" customWidth="1"/>
    <col min="11278" max="11278" width="11.7265625" style="51" customWidth="1"/>
    <col min="11279" max="11279" width="17.453125" style="51" customWidth="1"/>
    <col min="11280" max="11280" width="11.7265625" style="51" customWidth="1"/>
    <col min="11281" max="11281" width="17.453125" style="51" customWidth="1"/>
    <col min="11282" max="11283" width="9.1796875" style="51" customWidth="1"/>
    <col min="11284" max="11284" width="18" style="51" customWidth="1"/>
    <col min="11285" max="11520" width="11.453125" style="51"/>
    <col min="11521" max="11522" width="3.7265625" style="51" customWidth="1"/>
    <col min="11523" max="11523" width="7.453125" style="51" customWidth="1"/>
    <col min="11524" max="11524" width="63.453125" style="51" customWidth="1"/>
    <col min="11525" max="11525" width="7.1796875" style="51" customWidth="1"/>
    <col min="11526" max="11526" width="8.1796875" style="51" customWidth="1"/>
    <col min="11527" max="11527" width="41.453125" style="51" customWidth="1"/>
    <col min="11528" max="11528" width="19" style="51" customWidth="1"/>
    <col min="11529" max="11529" width="27.26953125" style="51" bestFit="1" customWidth="1"/>
    <col min="11530" max="11530" width="24.81640625" style="51" customWidth="1"/>
    <col min="11531" max="11531" width="39" style="51" customWidth="1"/>
    <col min="11532" max="11532" width="21.453125" style="51" bestFit="1" customWidth="1"/>
    <col min="11533" max="11533" width="17.453125" style="51" customWidth="1"/>
    <col min="11534" max="11534" width="11.7265625" style="51" customWidth="1"/>
    <col min="11535" max="11535" width="17.453125" style="51" customWidth="1"/>
    <col min="11536" max="11536" width="11.7265625" style="51" customWidth="1"/>
    <col min="11537" max="11537" width="17.453125" style="51" customWidth="1"/>
    <col min="11538" max="11539" width="9.1796875" style="51" customWidth="1"/>
    <col min="11540" max="11540" width="18" style="51" customWidth="1"/>
    <col min="11541" max="11776" width="11.453125" style="51"/>
    <col min="11777" max="11778" width="3.7265625" style="51" customWidth="1"/>
    <col min="11779" max="11779" width="7.453125" style="51" customWidth="1"/>
    <col min="11780" max="11780" width="63.453125" style="51" customWidth="1"/>
    <col min="11781" max="11781" width="7.1796875" style="51" customWidth="1"/>
    <col min="11782" max="11782" width="8.1796875" style="51" customWidth="1"/>
    <col min="11783" max="11783" width="41.453125" style="51" customWidth="1"/>
    <col min="11784" max="11784" width="19" style="51" customWidth="1"/>
    <col min="11785" max="11785" width="27.26953125" style="51" bestFit="1" customWidth="1"/>
    <col min="11786" max="11786" width="24.81640625" style="51" customWidth="1"/>
    <col min="11787" max="11787" width="39" style="51" customWidth="1"/>
    <col min="11788" max="11788" width="21.453125" style="51" bestFit="1" customWidth="1"/>
    <col min="11789" max="11789" width="17.453125" style="51" customWidth="1"/>
    <col min="11790" max="11790" width="11.7265625" style="51" customWidth="1"/>
    <col min="11791" max="11791" width="17.453125" style="51" customWidth="1"/>
    <col min="11792" max="11792" width="11.7265625" style="51" customWidth="1"/>
    <col min="11793" max="11793" width="17.453125" style="51" customWidth="1"/>
    <col min="11794" max="11795" width="9.1796875" style="51" customWidth="1"/>
    <col min="11796" max="11796" width="18" style="51" customWidth="1"/>
    <col min="11797" max="12032" width="11.453125" style="51"/>
    <col min="12033" max="12034" width="3.7265625" style="51" customWidth="1"/>
    <col min="12035" max="12035" width="7.453125" style="51" customWidth="1"/>
    <col min="12036" max="12036" width="63.453125" style="51" customWidth="1"/>
    <col min="12037" max="12037" width="7.1796875" style="51" customWidth="1"/>
    <col min="12038" max="12038" width="8.1796875" style="51" customWidth="1"/>
    <col min="12039" max="12039" width="41.453125" style="51" customWidth="1"/>
    <col min="12040" max="12040" width="19" style="51" customWidth="1"/>
    <col min="12041" max="12041" width="27.26953125" style="51" bestFit="1" customWidth="1"/>
    <col min="12042" max="12042" width="24.81640625" style="51" customWidth="1"/>
    <col min="12043" max="12043" width="39" style="51" customWidth="1"/>
    <col min="12044" max="12044" width="21.453125" style="51" bestFit="1" customWidth="1"/>
    <col min="12045" max="12045" width="17.453125" style="51" customWidth="1"/>
    <col min="12046" max="12046" width="11.7265625" style="51" customWidth="1"/>
    <col min="12047" max="12047" width="17.453125" style="51" customWidth="1"/>
    <col min="12048" max="12048" width="11.7265625" style="51" customWidth="1"/>
    <col min="12049" max="12049" width="17.453125" style="51" customWidth="1"/>
    <col min="12050" max="12051" width="9.1796875" style="51" customWidth="1"/>
    <col min="12052" max="12052" width="18" style="51" customWidth="1"/>
    <col min="12053" max="12288" width="11.453125" style="51"/>
    <col min="12289" max="12290" width="3.7265625" style="51" customWidth="1"/>
    <col min="12291" max="12291" width="7.453125" style="51" customWidth="1"/>
    <col min="12292" max="12292" width="63.453125" style="51" customWidth="1"/>
    <col min="12293" max="12293" width="7.1796875" style="51" customWidth="1"/>
    <col min="12294" max="12294" width="8.1796875" style="51" customWidth="1"/>
    <col min="12295" max="12295" width="41.453125" style="51" customWidth="1"/>
    <col min="12296" max="12296" width="19" style="51" customWidth="1"/>
    <col min="12297" max="12297" width="27.26953125" style="51" bestFit="1" customWidth="1"/>
    <col min="12298" max="12298" width="24.81640625" style="51" customWidth="1"/>
    <col min="12299" max="12299" width="39" style="51" customWidth="1"/>
    <col min="12300" max="12300" width="21.453125" style="51" bestFit="1" customWidth="1"/>
    <col min="12301" max="12301" width="17.453125" style="51" customWidth="1"/>
    <col min="12302" max="12302" width="11.7265625" style="51" customWidth="1"/>
    <col min="12303" max="12303" width="17.453125" style="51" customWidth="1"/>
    <col min="12304" max="12304" width="11.7265625" style="51" customWidth="1"/>
    <col min="12305" max="12305" width="17.453125" style="51" customWidth="1"/>
    <col min="12306" max="12307" width="9.1796875" style="51" customWidth="1"/>
    <col min="12308" max="12308" width="18" style="51" customWidth="1"/>
    <col min="12309" max="12544" width="11.453125" style="51"/>
    <col min="12545" max="12546" width="3.7265625" style="51" customWidth="1"/>
    <col min="12547" max="12547" width="7.453125" style="51" customWidth="1"/>
    <col min="12548" max="12548" width="63.453125" style="51" customWidth="1"/>
    <col min="12549" max="12549" width="7.1796875" style="51" customWidth="1"/>
    <col min="12550" max="12550" width="8.1796875" style="51" customWidth="1"/>
    <col min="12551" max="12551" width="41.453125" style="51" customWidth="1"/>
    <col min="12552" max="12552" width="19" style="51" customWidth="1"/>
    <col min="12553" max="12553" width="27.26953125" style="51" bestFit="1" customWidth="1"/>
    <col min="12554" max="12554" width="24.81640625" style="51" customWidth="1"/>
    <col min="12555" max="12555" width="39" style="51" customWidth="1"/>
    <col min="12556" max="12556" width="21.453125" style="51" bestFit="1" customWidth="1"/>
    <col min="12557" max="12557" width="17.453125" style="51" customWidth="1"/>
    <col min="12558" max="12558" width="11.7265625" style="51" customWidth="1"/>
    <col min="12559" max="12559" width="17.453125" style="51" customWidth="1"/>
    <col min="12560" max="12560" width="11.7265625" style="51" customWidth="1"/>
    <col min="12561" max="12561" width="17.453125" style="51" customWidth="1"/>
    <col min="12562" max="12563" width="9.1796875" style="51" customWidth="1"/>
    <col min="12564" max="12564" width="18" style="51" customWidth="1"/>
    <col min="12565" max="12800" width="11.453125" style="51"/>
    <col min="12801" max="12802" width="3.7265625" style="51" customWidth="1"/>
    <col min="12803" max="12803" width="7.453125" style="51" customWidth="1"/>
    <col min="12804" max="12804" width="63.453125" style="51" customWidth="1"/>
    <col min="12805" max="12805" width="7.1796875" style="51" customWidth="1"/>
    <col min="12806" max="12806" width="8.1796875" style="51" customWidth="1"/>
    <col min="12807" max="12807" width="41.453125" style="51" customWidth="1"/>
    <col min="12808" max="12808" width="19" style="51" customWidth="1"/>
    <col min="12809" max="12809" width="27.26953125" style="51" bestFit="1" customWidth="1"/>
    <col min="12810" max="12810" width="24.81640625" style="51" customWidth="1"/>
    <col min="12811" max="12811" width="39" style="51" customWidth="1"/>
    <col min="12812" max="12812" width="21.453125" style="51" bestFit="1" customWidth="1"/>
    <col min="12813" max="12813" width="17.453125" style="51" customWidth="1"/>
    <col min="12814" max="12814" width="11.7265625" style="51" customWidth="1"/>
    <col min="12815" max="12815" width="17.453125" style="51" customWidth="1"/>
    <col min="12816" max="12816" width="11.7265625" style="51" customWidth="1"/>
    <col min="12817" max="12817" width="17.453125" style="51" customWidth="1"/>
    <col min="12818" max="12819" width="9.1796875" style="51" customWidth="1"/>
    <col min="12820" max="12820" width="18" style="51" customWidth="1"/>
    <col min="12821" max="13056" width="11.453125" style="51"/>
    <col min="13057" max="13058" width="3.7265625" style="51" customWidth="1"/>
    <col min="13059" max="13059" width="7.453125" style="51" customWidth="1"/>
    <col min="13060" max="13060" width="63.453125" style="51" customWidth="1"/>
    <col min="13061" max="13061" width="7.1796875" style="51" customWidth="1"/>
    <col min="13062" max="13062" width="8.1796875" style="51" customWidth="1"/>
    <col min="13063" max="13063" width="41.453125" style="51" customWidth="1"/>
    <col min="13064" max="13064" width="19" style="51" customWidth="1"/>
    <col min="13065" max="13065" width="27.26953125" style="51" bestFit="1" customWidth="1"/>
    <col min="13066" max="13066" width="24.81640625" style="51" customWidth="1"/>
    <col min="13067" max="13067" width="39" style="51" customWidth="1"/>
    <col min="13068" max="13068" width="21.453125" style="51" bestFit="1" customWidth="1"/>
    <col min="13069" max="13069" width="17.453125" style="51" customWidth="1"/>
    <col min="13070" max="13070" width="11.7265625" style="51" customWidth="1"/>
    <col min="13071" max="13071" width="17.453125" style="51" customWidth="1"/>
    <col min="13072" max="13072" width="11.7265625" style="51" customWidth="1"/>
    <col min="13073" max="13073" width="17.453125" style="51" customWidth="1"/>
    <col min="13074" max="13075" width="9.1796875" style="51" customWidth="1"/>
    <col min="13076" max="13076" width="18" style="51" customWidth="1"/>
    <col min="13077" max="13312" width="11.453125" style="51"/>
    <col min="13313" max="13314" width="3.7265625" style="51" customWidth="1"/>
    <col min="13315" max="13315" width="7.453125" style="51" customWidth="1"/>
    <col min="13316" max="13316" width="63.453125" style="51" customWidth="1"/>
    <col min="13317" max="13317" width="7.1796875" style="51" customWidth="1"/>
    <col min="13318" max="13318" width="8.1796875" style="51" customWidth="1"/>
    <col min="13319" max="13319" width="41.453125" style="51" customWidth="1"/>
    <col min="13320" max="13320" width="19" style="51" customWidth="1"/>
    <col min="13321" max="13321" width="27.26953125" style="51" bestFit="1" customWidth="1"/>
    <col min="13322" max="13322" width="24.81640625" style="51" customWidth="1"/>
    <col min="13323" max="13323" width="39" style="51" customWidth="1"/>
    <col min="13324" max="13324" width="21.453125" style="51" bestFit="1" customWidth="1"/>
    <col min="13325" max="13325" width="17.453125" style="51" customWidth="1"/>
    <col min="13326" max="13326" width="11.7265625" style="51" customWidth="1"/>
    <col min="13327" max="13327" width="17.453125" style="51" customWidth="1"/>
    <col min="13328" max="13328" width="11.7265625" style="51" customWidth="1"/>
    <col min="13329" max="13329" width="17.453125" style="51" customWidth="1"/>
    <col min="13330" max="13331" width="9.1796875" style="51" customWidth="1"/>
    <col min="13332" max="13332" width="18" style="51" customWidth="1"/>
    <col min="13333" max="13568" width="11.453125" style="51"/>
    <col min="13569" max="13570" width="3.7265625" style="51" customWidth="1"/>
    <col min="13571" max="13571" width="7.453125" style="51" customWidth="1"/>
    <col min="13572" max="13572" width="63.453125" style="51" customWidth="1"/>
    <col min="13573" max="13573" width="7.1796875" style="51" customWidth="1"/>
    <col min="13574" max="13574" width="8.1796875" style="51" customWidth="1"/>
    <col min="13575" max="13575" width="41.453125" style="51" customWidth="1"/>
    <col min="13576" max="13576" width="19" style="51" customWidth="1"/>
    <col min="13577" max="13577" width="27.26953125" style="51" bestFit="1" customWidth="1"/>
    <col min="13578" max="13578" width="24.81640625" style="51" customWidth="1"/>
    <col min="13579" max="13579" width="39" style="51" customWidth="1"/>
    <col min="13580" max="13580" width="21.453125" style="51" bestFit="1" customWidth="1"/>
    <col min="13581" max="13581" width="17.453125" style="51" customWidth="1"/>
    <col min="13582" max="13582" width="11.7265625" style="51" customWidth="1"/>
    <col min="13583" max="13583" width="17.453125" style="51" customWidth="1"/>
    <col min="13584" max="13584" width="11.7265625" style="51" customWidth="1"/>
    <col min="13585" max="13585" width="17.453125" style="51" customWidth="1"/>
    <col min="13586" max="13587" width="9.1796875" style="51" customWidth="1"/>
    <col min="13588" max="13588" width="18" style="51" customWidth="1"/>
    <col min="13589" max="13824" width="11.453125" style="51"/>
    <col min="13825" max="13826" width="3.7265625" style="51" customWidth="1"/>
    <col min="13827" max="13827" width="7.453125" style="51" customWidth="1"/>
    <col min="13828" max="13828" width="63.453125" style="51" customWidth="1"/>
    <col min="13829" max="13829" width="7.1796875" style="51" customWidth="1"/>
    <col min="13830" max="13830" width="8.1796875" style="51" customWidth="1"/>
    <col min="13831" max="13831" width="41.453125" style="51" customWidth="1"/>
    <col min="13832" max="13832" width="19" style="51" customWidth="1"/>
    <col min="13833" max="13833" width="27.26953125" style="51" bestFit="1" customWidth="1"/>
    <col min="13834" max="13834" width="24.81640625" style="51" customWidth="1"/>
    <col min="13835" max="13835" width="39" style="51" customWidth="1"/>
    <col min="13836" max="13836" width="21.453125" style="51" bestFit="1" customWidth="1"/>
    <col min="13837" max="13837" width="17.453125" style="51" customWidth="1"/>
    <col min="13838" max="13838" width="11.7265625" style="51" customWidth="1"/>
    <col min="13839" max="13839" width="17.453125" style="51" customWidth="1"/>
    <col min="13840" max="13840" width="11.7265625" style="51" customWidth="1"/>
    <col min="13841" max="13841" width="17.453125" style="51" customWidth="1"/>
    <col min="13842" max="13843" width="9.1796875" style="51" customWidth="1"/>
    <col min="13844" max="13844" width="18" style="51" customWidth="1"/>
    <col min="13845" max="14080" width="11.453125" style="51"/>
    <col min="14081" max="14082" width="3.7265625" style="51" customWidth="1"/>
    <col min="14083" max="14083" width="7.453125" style="51" customWidth="1"/>
    <col min="14084" max="14084" width="63.453125" style="51" customWidth="1"/>
    <col min="14085" max="14085" width="7.1796875" style="51" customWidth="1"/>
    <col min="14086" max="14086" width="8.1796875" style="51" customWidth="1"/>
    <col min="14087" max="14087" width="41.453125" style="51" customWidth="1"/>
    <col min="14088" max="14088" width="19" style="51" customWidth="1"/>
    <col min="14089" max="14089" width="27.26953125" style="51" bestFit="1" customWidth="1"/>
    <col min="14090" max="14090" width="24.81640625" style="51" customWidth="1"/>
    <col min="14091" max="14091" width="39" style="51" customWidth="1"/>
    <col min="14092" max="14092" width="21.453125" style="51" bestFit="1" customWidth="1"/>
    <col min="14093" max="14093" width="17.453125" style="51" customWidth="1"/>
    <col min="14094" max="14094" width="11.7265625" style="51" customWidth="1"/>
    <col min="14095" max="14095" width="17.453125" style="51" customWidth="1"/>
    <col min="14096" max="14096" width="11.7265625" style="51" customWidth="1"/>
    <col min="14097" max="14097" width="17.453125" style="51" customWidth="1"/>
    <col min="14098" max="14099" width="9.1796875" style="51" customWidth="1"/>
    <col min="14100" max="14100" width="18" style="51" customWidth="1"/>
    <col min="14101" max="14336" width="11.453125" style="51"/>
    <col min="14337" max="14338" width="3.7265625" style="51" customWidth="1"/>
    <col min="14339" max="14339" width="7.453125" style="51" customWidth="1"/>
    <col min="14340" max="14340" width="63.453125" style="51" customWidth="1"/>
    <col min="14341" max="14341" width="7.1796875" style="51" customWidth="1"/>
    <col min="14342" max="14342" width="8.1796875" style="51" customWidth="1"/>
    <col min="14343" max="14343" width="41.453125" style="51" customWidth="1"/>
    <col min="14344" max="14344" width="19" style="51" customWidth="1"/>
    <col min="14345" max="14345" width="27.26953125" style="51" bestFit="1" customWidth="1"/>
    <col min="14346" max="14346" width="24.81640625" style="51" customWidth="1"/>
    <col min="14347" max="14347" width="39" style="51" customWidth="1"/>
    <col min="14348" max="14348" width="21.453125" style="51" bestFit="1" customWidth="1"/>
    <col min="14349" max="14349" width="17.453125" style="51" customWidth="1"/>
    <col min="14350" max="14350" width="11.7265625" style="51" customWidth="1"/>
    <col min="14351" max="14351" width="17.453125" style="51" customWidth="1"/>
    <col min="14352" max="14352" width="11.7265625" style="51" customWidth="1"/>
    <col min="14353" max="14353" width="17.453125" style="51" customWidth="1"/>
    <col min="14354" max="14355" width="9.1796875" style="51" customWidth="1"/>
    <col min="14356" max="14356" width="18" style="51" customWidth="1"/>
    <col min="14357" max="14592" width="11.453125" style="51"/>
    <col min="14593" max="14594" width="3.7265625" style="51" customWidth="1"/>
    <col min="14595" max="14595" width="7.453125" style="51" customWidth="1"/>
    <col min="14596" max="14596" width="63.453125" style="51" customWidth="1"/>
    <col min="14597" max="14597" width="7.1796875" style="51" customWidth="1"/>
    <col min="14598" max="14598" width="8.1796875" style="51" customWidth="1"/>
    <col min="14599" max="14599" width="41.453125" style="51" customWidth="1"/>
    <col min="14600" max="14600" width="19" style="51" customWidth="1"/>
    <col min="14601" max="14601" width="27.26953125" style="51" bestFit="1" customWidth="1"/>
    <col min="14602" max="14602" width="24.81640625" style="51" customWidth="1"/>
    <col min="14603" max="14603" width="39" style="51" customWidth="1"/>
    <col min="14604" max="14604" width="21.453125" style="51" bestFit="1" customWidth="1"/>
    <col min="14605" max="14605" width="17.453125" style="51" customWidth="1"/>
    <col min="14606" max="14606" width="11.7265625" style="51" customWidth="1"/>
    <col min="14607" max="14607" width="17.453125" style="51" customWidth="1"/>
    <col min="14608" max="14608" width="11.7265625" style="51" customWidth="1"/>
    <col min="14609" max="14609" width="17.453125" style="51" customWidth="1"/>
    <col min="14610" max="14611" width="9.1796875" style="51" customWidth="1"/>
    <col min="14612" max="14612" width="18" style="51" customWidth="1"/>
    <col min="14613" max="14848" width="11.453125" style="51"/>
    <col min="14849" max="14850" width="3.7265625" style="51" customWidth="1"/>
    <col min="14851" max="14851" width="7.453125" style="51" customWidth="1"/>
    <col min="14852" max="14852" width="63.453125" style="51" customWidth="1"/>
    <col min="14853" max="14853" width="7.1796875" style="51" customWidth="1"/>
    <col min="14854" max="14854" width="8.1796875" style="51" customWidth="1"/>
    <col min="14855" max="14855" width="41.453125" style="51" customWidth="1"/>
    <col min="14856" max="14856" width="19" style="51" customWidth="1"/>
    <col min="14857" max="14857" width="27.26953125" style="51" bestFit="1" customWidth="1"/>
    <col min="14858" max="14858" width="24.81640625" style="51" customWidth="1"/>
    <col min="14859" max="14859" width="39" style="51" customWidth="1"/>
    <col min="14860" max="14860" width="21.453125" style="51" bestFit="1" customWidth="1"/>
    <col min="14861" max="14861" width="17.453125" style="51" customWidth="1"/>
    <col min="14862" max="14862" width="11.7265625" style="51" customWidth="1"/>
    <col min="14863" max="14863" width="17.453125" style="51" customWidth="1"/>
    <col min="14864" max="14864" width="11.7265625" style="51" customWidth="1"/>
    <col min="14865" max="14865" width="17.453125" style="51" customWidth="1"/>
    <col min="14866" max="14867" width="9.1796875" style="51" customWidth="1"/>
    <col min="14868" max="14868" width="18" style="51" customWidth="1"/>
    <col min="14869" max="15104" width="11.453125" style="51"/>
    <col min="15105" max="15106" width="3.7265625" style="51" customWidth="1"/>
    <col min="15107" max="15107" width="7.453125" style="51" customWidth="1"/>
    <col min="15108" max="15108" width="63.453125" style="51" customWidth="1"/>
    <col min="15109" max="15109" width="7.1796875" style="51" customWidth="1"/>
    <col min="15110" max="15110" width="8.1796875" style="51" customWidth="1"/>
    <col min="15111" max="15111" width="41.453125" style="51" customWidth="1"/>
    <col min="15112" max="15112" width="19" style="51" customWidth="1"/>
    <col min="15113" max="15113" width="27.26953125" style="51" bestFit="1" customWidth="1"/>
    <col min="15114" max="15114" width="24.81640625" style="51" customWidth="1"/>
    <col min="15115" max="15115" width="39" style="51" customWidth="1"/>
    <col min="15116" max="15116" width="21.453125" style="51" bestFit="1" customWidth="1"/>
    <col min="15117" max="15117" width="17.453125" style="51" customWidth="1"/>
    <col min="15118" max="15118" width="11.7265625" style="51" customWidth="1"/>
    <col min="15119" max="15119" width="17.453125" style="51" customWidth="1"/>
    <col min="15120" max="15120" width="11.7265625" style="51" customWidth="1"/>
    <col min="15121" max="15121" width="17.453125" style="51" customWidth="1"/>
    <col min="15122" max="15123" width="9.1796875" style="51" customWidth="1"/>
    <col min="15124" max="15124" width="18" style="51" customWidth="1"/>
    <col min="15125" max="15360" width="11.453125" style="51"/>
    <col min="15361" max="15362" width="3.7265625" style="51" customWidth="1"/>
    <col min="15363" max="15363" width="7.453125" style="51" customWidth="1"/>
    <col min="15364" max="15364" width="63.453125" style="51" customWidth="1"/>
    <col min="15365" max="15365" width="7.1796875" style="51" customWidth="1"/>
    <col min="15366" max="15366" width="8.1796875" style="51" customWidth="1"/>
    <col min="15367" max="15367" width="41.453125" style="51" customWidth="1"/>
    <col min="15368" max="15368" width="19" style="51" customWidth="1"/>
    <col min="15369" max="15369" width="27.26953125" style="51" bestFit="1" customWidth="1"/>
    <col min="15370" max="15370" width="24.81640625" style="51" customWidth="1"/>
    <col min="15371" max="15371" width="39" style="51" customWidth="1"/>
    <col min="15372" max="15372" width="21.453125" style="51" bestFit="1" customWidth="1"/>
    <col min="15373" max="15373" width="17.453125" style="51" customWidth="1"/>
    <col min="15374" max="15374" width="11.7265625" style="51" customWidth="1"/>
    <col min="15375" max="15375" width="17.453125" style="51" customWidth="1"/>
    <col min="15376" max="15376" width="11.7265625" style="51" customWidth="1"/>
    <col min="15377" max="15377" width="17.453125" style="51" customWidth="1"/>
    <col min="15378" max="15379" width="9.1796875" style="51" customWidth="1"/>
    <col min="15380" max="15380" width="18" style="51" customWidth="1"/>
    <col min="15381" max="15616" width="11.453125" style="51"/>
    <col min="15617" max="15618" width="3.7265625" style="51" customWidth="1"/>
    <col min="15619" max="15619" width="7.453125" style="51" customWidth="1"/>
    <col min="15620" max="15620" width="63.453125" style="51" customWidth="1"/>
    <col min="15621" max="15621" width="7.1796875" style="51" customWidth="1"/>
    <col min="15622" max="15622" width="8.1796875" style="51" customWidth="1"/>
    <col min="15623" max="15623" width="41.453125" style="51" customWidth="1"/>
    <col min="15624" max="15624" width="19" style="51" customWidth="1"/>
    <col min="15625" max="15625" width="27.26953125" style="51" bestFit="1" customWidth="1"/>
    <col min="15626" max="15626" width="24.81640625" style="51" customWidth="1"/>
    <col min="15627" max="15627" width="39" style="51" customWidth="1"/>
    <col min="15628" max="15628" width="21.453125" style="51" bestFit="1" customWidth="1"/>
    <col min="15629" max="15629" width="17.453125" style="51" customWidth="1"/>
    <col min="15630" max="15630" width="11.7265625" style="51" customWidth="1"/>
    <col min="15631" max="15631" width="17.453125" style="51" customWidth="1"/>
    <col min="15632" max="15632" width="11.7265625" style="51" customWidth="1"/>
    <col min="15633" max="15633" width="17.453125" style="51" customWidth="1"/>
    <col min="15634" max="15635" width="9.1796875" style="51" customWidth="1"/>
    <col min="15636" max="15636" width="18" style="51" customWidth="1"/>
    <col min="15637" max="15872" width="11.453125" style="51"/>
    <col min="15873" max="15874" width="3.7265625" style="51" customWidth="1"/>
    <col min="15875" max="15875" width="7.453125" style="51" customWidth="1"/>
    <col min="15876" max="15876" width="63.453125" style="51" customWidth="1"/>
    <col min="15877" max="15877" width="7.1796875" style="51" customWidth="1"/>
    <col min="15878" max="15878" width="8.1796875" style="51" customWidth="1"/>
    <col min="15879" max="15879" width="41.453125" style="51" customWidth="1"/>
    <col min="15880" max="15880" width="19" style="51" customWidth="1"/>
    <col min="15881" max="15881" width="27.26953125" style="51" bestFit="1" customWidth="1"/>
    <col min="15882" max="15882" width="24.81640625" style="51" customWidth="1"/>
    <col min="15883" max="15883" width="39" style="51" customWidth="1"/>
    <col min="15884" max="15884" width="21.453125" style="51" bestFit="1" customWidth="1"/>
    <col min="15885" max="15885" width="17.453125" style="51" customWidth="1"/>
    <col min="15886" max="15886" width="11.7265625" style="51" customWidth="1"/>
    <col min="15887" max="15887" width="17.453125" style="51" customWidth="1"/>
    <col min="15888" max="15888" width="11.7265625" style="51" customWidth="1"/>
    <col min="15889" max="15889" width="17.453125" style="51" customWidth="1"/>
    <col min="15890" max="15891" width="9.1796875" style="51" customWidth="1"/>
    <col min="15892" max="15892" width="18" style="51" customWidth="1"/>
    <col min="15893" max="16128" width="11.453125" style="51"/>
    <col min="16129" max="16130" width="3.7265625" style="51" customWidth="1"/>
    <col min="16131" max="16131" width="7.453125" style="51" customWidth="1"/>
    <col min="16132" max="16132" width="63.453125" style="51" customWidth="1"/>
    <col min="16133" max="16133" width="7.1796875" style="51" customWidth="1"/>
    <col min="16134" max="16134" width="8.1796875" style="51" customWidth="1"/>
    <col min="16135" max="16135" width="41.453125" style="51" customWidth="1"/>
    <col min="16136" max="16136" width="19" style="51" customWidth="1"/>
    <col min="16137" max="16137" width="27.26953125" style="51" bestFit="1" customWidth="1"/>
    <col min="16138" max="16138" width="24.81640625" style="51" customWidth="1"/>
    <col min="16139" max="16139" width="39" style="51" customWidth="1"/>
    <col min="16140" max="16140" width="21.453125" style="51" bestFit="1" customWidth="1"/>
    <col min="16141" max="16141" width="17.453125" style="51" customWidth="1"/>
    <col min="16142" max="16142" width="11.7265625" style="51" customWidth="1"/>
    <col min="16143" max="16143" width="17.453125" style="51" customWidth="1"/>
    <col min="16144" max="16144" width="11.7265625" style="51" customWidth="1"/>
    <col min="16145" max="16145" width="17.453125" style="51" customWidth="1"/>
    <col min="16146" max="16147" width="9.1796875" style="51" customWidth="1"/>
    <col min="16148" max="16148" width="18" style="51" customWidth="1"/>
    <col min="16149" max="16384" width="11.453125" style="51"/>
  </cols>
  <sheetData>
    <row r="2" spans="3:17" s="48" customFormat="1" ht="26">
      <c r="C2" s="42" t="s">
        <v>325</v>
      </c>
      <c r="D2" s="43"/>
      <c r="E2" s="43"/>
      <c r="F2" s="44"/>
      <c r="G2" s="45"/>
      <c r="H2" s="46"/>
      <c r="I2" s="46"/>
      <c r="J2" s="46"/>
      <c r="K2" s="47"/>
      <c r="M2" s="45"/>
      <c r="O2" s="45"/>
      <c r="Q2" s="45"/>
    </row>
    <row r="4" spans="3:17" s="53" customFormat="1" ht="20.149999999999999" customHeight="1">
      <c r="C4" s="137" t="s">
        <v>38</v>
      </c>
      <c r="D4" s="139" t="s">
        <v>326</v>
      </c>
      <c r="E4" s="141" t="s">
        <v>37</v>
      </c>
      <c r="F4" s="142"/>
      <c r="G4" s="145" t="s">
        <v>327</v>
      </c>
      <c r="H4" s="49"/>
      <c r="I4" s="49"/>
      <c r="J4" s="49"/>
      <c r="K4" s="50"/>
      <c r="L4" s="51"/>
      <c r="M4" s="52"/>
      <c r="N4" s="51"/>
      <c r="O4" s="52"/>
      <c r="P4" s="51"/>
      <c r="Q4" s="52"/>
    </row>
    <row r="5" spans="3:17" s="53" customFormat="1" ht="20.149999999999999" customHeight="1">
      <c r="C5" s="138"/>
      <c r="D5" s="140"/>
      <c r="E5" s="143"/>
      <c r="F5" s="144"/>
      <c r="G5" s="146"/>
      <c r="H5" s="51"/>
      <c r="I5" s="51"/>
      <c r="J5" s="51"/>
      <c r="K5" s="54"/>
      <c r="L5" s="51"/>
      <c r="M5" s="52"/>
      <c r="N5" s="51"/>
      <c r="O5" s="52"/>
      <c r="P5" s="51"/>
      <c r="Q5" s="52"/>
    </row>
    <row r="6" spans="3:17" s="49" customFormat="1" ht="5.5" customHeight="1">
      <c r="C6" s="55"/>
      <c r="D6" s="56"/>
      <c r="E6" s="57"/>
      <c r="F6" s="58"/>
      <c r="G6" s="59"/>
      <c r="K6" s="50"/>
      <c r="L6" s="51"/>
      <c r="M6" s="52"/>
      <c r="N6" s="51"/>
      <c r="O6" s="52"/>
      <c r="P6" s="51"/>
      <c r="Q6" s="52"/>
    </row>
    <row r="7" spans="3:17" s="49" customFormat="1" ht="20.149999999999999" customHeight="1">
      <c r="C7" s="60" t="s">
        <v>328</v>
      </c>
      <c r="D7" s="61" t="s">
        <v>329</v>
      </c>
      <c r="E7" s="57"/>
      <c r="F7" s="58"/>
      <c r="G7" s="59"/>
      <c r="K7" s="50"/>
      <c r="L7" s="51"/>
      <c r="M7" s="52"/>
      <c r="N7" s="51"/>
      <c r="O7" s="52"/>
      <c r="P7" s="51"/>
      <c r="Q7" s="52"/>
    </row>
    <row r="8" spans="3:17" s="49" customFormat="1" ht="20.149999999999999" customHeight="1">
      <c r="C8" s="62" t="s">
        <v>330</v>
      </c>
      <c r="D8" s="56" t="s">
        <v>331</v>
      </c>
      <c r="E8" s="57">
        <v>2</v>
      </c>
      <c r="F8" s="58" t="s">
        <v>332</v>
      </c>
      <c r="G8" s="59"/>
      <c r="K8" s="50"/>
      <c r="L8" s="51"/>
      <c r="M8" s="52"/>
      <c r="N8" s="51"/>
      <c r="O8" s="52"/>
      <c r="P8" s="51"/>
      <c r="Q8" s="52"/>
    </row>
    <row r="9" spans="3:17" s="49" customFormat="1" ht="20.149999999999999" customHeight="1">
      <c r="C9" s="62" t="s">
        <v>333</v>
      </c>
      <c r="D9" s="63" t="s">
        <v>334</v>
      </c>
      <c r="E9" s="57">
        <v>2</v>
      </c>
      <c r="F9" s="58" t="s">
        <v>335</v>
      </c>
      <c r="G9" s="59"/>
      <c r="H9" s="64"/>
      <c r="K9" s="50"/>
      <c r="L9" s="51"/>
      <c r="M9" s="52"/>
      <c r="N9" s="51"/>
      <c r="O9" s="52"/>
      <c r="P9" s="51"/>
      <c r="Q9" s="52"/>
    </row>
    <row r="10" spans="3:17" s="49" customFormat="1" ht="20.149999999999999" customHeight="1">
      <c r="C10" s="62" t="s">
        <v>336</v>
      </c>
      <c r="D10" s="56" t="s">
        <v>337</v>
      </c>
      <c r="E10" s="57">
        <v>1</v>
      </c>
      <c r="F10" s="58" t="s">
        <v>335</v>
      </c>
      <c r="G10" s="59" t="s">
        <v>338</v>
      </c>
      <c r="K10" s="50"/>
      <c r="L10" s="51"/>
      <c r="M10" s="52"/>
      <c r="N10" s="51"/>
      <c r="O10" s="52"/>
      <c r="P10" s="51"/>
      <c r="Q10" s="52"/>
    </row>
    <row r="11" spans="3:17" s="49" customFormat="1" ht="20.149999999999999" customHeight="1">
      <c r="C11" s="62" t="s">
        <v>339</v>
      </c>
      <c r="D11" s="56" t="s">
        <v>340</v>
      </c>
      <c r="E11" s="57">
        <v>2</v>
      </c>
      <c r="F11" s="58" t="s">
        <v>335</v>
      </c>
      <c r="G11" s="59"/>
      <c r="K11" s="50"/>
      <c r="L11" s="51"/>
      <c r="M11" s="52"/>
      <c r="N11" s="51"/>
      <c r="O11" s="52"/>
      <c r="P11" s="51"/>
      <c r="Q11" s="52"/>
    </row>
    <row r="12" spans="3:17" s="49" customFormat="1" ht="20.149999999999999" customHeight="1">
      <c r="C12" s="62" t="s">
        <v>341</v>
      </c>
      <c r="D12" s="56" t="s">
        <v>342</v>
      </c>
      <c r="E12" s="57">
        <v>2</v>
      </c>
      <c r="F12" s="58" t="s">
        <v>335</v>
      </c>
      <c r="G12" s="59"/>
      <c r="K12" s="50"/>
      <c r="L12" s="51"/>
      <c r="M12" s="52"/>
      <c r="N12" s="51"/>
      <c r="O12" s="52"/>
      <c r="P12" s="51"/>
      <c r="Q12" s="52"/>
    </row>
    <row r="13" spans="3:17" s="49" customFormat="1" ht="20.149999999999999" customHeight="1">
      <c r="C13" s="62" t="s">
        <v>343</v>
      </c>
      <c r="D13" s="56" t="s">
        <v>344</v>
      </c>
      <c r="E13" s="57">
        <v>1</v>
      </c>
      <c r="F13" s="58" t="s">
        <v>335</v>
      </c>
      <c r="G13" s="59"/>
      <c r="K13" s="50"/>
      <c r="L13" s="51"/>
      <c r="M13" s="52"/>
      <c r="N13" s="51"/>
      <c r="O13" s="52"/>
      <c r="P13" s="51"/>
      <c r="Q13" s="52"/>
    </row>
    <row r="14" spans="3:17" s="49" customFormat="1" ht="20.149999999999999" customHeight="1">
      <c r="C14" s="62" t="s">
        <v>345</v>
      </c>
      <c r="D14" s="56" t="s">
        <v>346</v>
      </c>
      <c r="E14" s="57">
        <v>1</v>
      </c>
      <c r="F14" s="58" t="s">
        <v>335</v>
      </c>
      <c r="G14" s="59"/>
      <c r="K14" s="50"/>
      <c r="L14" s="51"/>
      <c r="M14" s="52"/>
      <c r="N14" s="51"/>
      <c r="O14" s="52"/>
      <c r="P14" s="51"/>
      <c r="Q14" s="52"/>
    </row>
    <row r="15" spans="3:17" s="49" customFormat="1" ht="20.149999999999999" customHeight="1">
      <c r="C15" s="62" t="s">
        <v>347</v>
      </c>
      <c r="D15" s="56" t="s">
        <v>348</v>
      </c>
      <c r="E15" s="57">
        <v>2</v>
      </c>
      <c r="F15" s="58" t="s">
        <v>335</v>
      </c>
      <c r="G15" s="59" t="s">
        <v>349</v>
      </c>
      <c r="K15" s="50"/>
      <c r="L15" s="51"/>
      <c r="M15" s="52"/>
      <c r="N15" s="51"/>
      <c r="O15" s="52"/>
      <c r="P15" s="51"/>
      <c r="Q15" s="52"/>
    </row>
    <row r="16" spans="3:17" s="49" customFormat="1" ht="20.149999999999999" customHeight="1">
      <c r="C16" s="62" t="s">
        <v>350</v>
      </c>
      <c r="D16" s="56" t="s">
        <v>351</v>
      </c>
      <c r="E16" s="57">
        <v>1</v>
      </c>
      <c r="F16" s="58" t="s">
        <v>335</v>
      </c>
      <c r="G16" s="59"/>
      <c r="K16" s="50"/>
      <c r="L16" s="51"/>
      <c r="M16" s="52"/>
      <c r="N16" s="51"/>
      <c r="O16" s="52"/>
      <c r="P16" s="51"/>
      <c r="Q16" s="52"/>
    </row>
    <row r="17" spans="3:17" s="49" customFormat="1" ht="20.149999999999999" customHeight="1">
      <c r="C17" s="62" t="s">
        <v>352</v>
      </c>
      <c r="D17" s="56" t="s">
        <v>353</v>
      </c>
      <c r="E17" s="57">
        <v>10</v>
      </c>
      <c r="F17" s="58" t="s">
        <v>354</v>
      </c>
      <c r="G17" s="59"/>
      <c r="K17" s="50"/>
      <c r="L17" s="51"/>
      <c r="M17" s="52"/>
      <c r="N17" s="51"/>
      <c r="O17" s="52"/>
      <c r="P17" s="51"/>
      <c r="Q17" s="52"/>
    </row>
    <row r="18" spans="3:17" s="49" customFormat="1" ht="20.149999999999999" customHeight="1">
      <c r="C18" s="62" t="s">
        <v>355</v>
      </c>
      <c r="D18" s="56" t="s">
        <v>356</v>
      </c>
      <c r="E18" s="57">
        <v>1</v>
      </c>
      <c r="F18" s="58" t="s">
        <v>357</v>
      </c>
      <c r="G18" s="59"/>
      <c r="K18" s="50"/>
      <c r="L18" s="51"/>
      <c r="M18" s="52"/>
      <c r="N18" s="51"/>
      <c r="O18" s="52"/>
      <c r="P18" s="51"/>
      <c r="Q18" s="52"/>
    </row>
    <row r="19" spans="3:17" s="49" customFormat="1" ht="20.149999999999999" customHeight="1">
      <c r="C19" s="62" t="s">
        <v>358</v>
      </c>
      <c r="D19" s="56" t="s">
        <v>282</v>
      </c>
      <c r="E19" s="57">
        <v>1</v>
      </c>
      <c r="F19" s="58" t="s">
        <v>335</v>
      </c>
      <c r="G19" s="59"/>
      <c r="K19" s="50"/>
      <c r="L19" s="51"/>
      <c r="M19" s="52"/>
      <c r="N19" s="51"/>
      <c r="O19" s="52"/>
      <c r="P19" s="51"/>
      <c r="Q19" s="52"/>
    </row>
    <row r="20" spans="3:17" s="49" customFormat="1" ht="20.149999999999999" customHeight="1">
      <c r="C20" s="62" t="s">
        <v>359</v>
      </c>
      <c r="D20" s="56" t="s">
        <v>360</v>
      </c>
      <c r="E20" s="57">
        <v>4</v>
      </c>
      <c r="F20" s="58" t="s">
        <v>357</v>
      </c>
      <c r="G20" s="59"/>
      <c r="K20" s="50"/>
      <c r="L20" s="51"/>
      <c r="M20" s="52"/>
      <c r="N20" s="51"/>
      <c r="O20" s="52"/>
      <c r="P20" s="51"/>
      <c r="Q20" s="52"/>
    </row>
    <row r="21" spans="3:17" s="49" customFormat="1" ht="20.149999999999999" customHeight="1">
      <c r="C21" s="62" t="s">
        <v>361</v>
      </c>
      <c r="D21" s="56" t="s">
        <v>362</v>
      </c>
      <c r="E21" s="57">
        <v>9</v>
      </c>
      <c r="F21" s="58" t="s">
        <v>357</v>
      </c>
      <c r="G21" s="59"/>
      <c r="K21" s="50"/>
      <c r="L21" s="51"/>
      <c r="M21" s="52"/>
      <c r="N21" s="51"/>
      <c r="O21" s="52"/>
      <c r="P21" s="51"/>
      <c r="Q21" s="52"/>
    </row>
    <row r="22" spans="3:17" s="49" customFormat="1" ht="20.149999999999999" customHeight="1">
      <c r="C22" s="62" t="s">
        <v>363</v>
      </c>
      <c r="D22" s="56" t="s">
        <v>364</v>
      </c>
      <c r="E22" s="57">
        <v>2</v>
      </c>
      <c r="F22" s="58" t="s">
        <v>357</v>
      </c>
      <c r="G22" s="59"/>
      <c r="K22" s="50"/>
      <c r="L22" s="51"/>
      <c r="M22" s="52"/>
      <c r="N22" s="51"/>
      <c r="O22" s="52"/>
      <c r="P22" s="51"/>
      <c r="Q22" s="52"/>
    </row>
    <row r="23" spans="3:17" s="49" customFormat="1" ht="20.149999999999999" customHeight="1">
      <c r="C23" s="62" t="s">
        <v>365</v>
      </c>
      <c r="D23" s="56" t="s">
        <v>366</v>
      </c>
      <c r="E23" s="57">
        <v>20</v>
      </c>
      <c r="F23" s="58" t="s">
        <v>354</v>
      </c>
      <c r="G23" s="59"/>
      <c r="K23" s="50"/>
      <c r="L23" s="51"/>
      <c r="M23" s="52"/>
      <c r="N23" s="51"/>
      <c r="O23" s="52"/>
      <c r="P23" s="51"/>
      <c r="Q23" s="52"/>
    </row>
    <row r="24" spans="3:17" s="49" customFormat="1" ht="20.149999999999999" customHeight="1">
      <c r="C24" s="62" t="s">
        <v>367</v>
      </c>
      <c r="D24" s="56" t="s">
        <v>368</v>
      </c>
      <c r="E24" s="57">
        <v>3</v>
      </c>
      <c r="F24" s="58" t="s">
        <v>357</v>
      </c>
      <c r="G24" s="59"/>
      <c r="K24" s="50"/>
      <c r="L24" s="51"/>
      <c r="M24" s="52"/>
      <c r="N24" s="51"/>
      <c r="O24" s="52"/>
      <c r="P24" s="51"/>
      <c r="Q24" s="52"/>
    </row>
    <row r="25" spans="3:17" s="49" customFormat="1" ht="20.149999999999999" customHeight="1">
      <c r="C25" s="62" t="s">
        <v>369</v>
      </c>
      <c r="D25" s="56" t="s">
        <v>370</v>
      </c>
      <c r="E25" s="57">
        <v>3</v>
      </c>
      <c r="F25" s="58" t="s">
        <v>357</v>
      </c>
      <c r="G25" s="59"/>
      <c r="K25" s="50"/>
      <c r="L25" s="51"/>
      <c r="M25" s="52"/>
      <c r="N25" s="51"/>
      <c r="O25" s="52"/>
      <c r="P25" s="51"/>
      <c r="Q25" s="52"/>
    </row>
    <row r="26" spans="3:17" s="49" customFormat="1" ht="20.149999999999999" customHeight="1">
      <c r="C26" s="62" t="s">
        <v>371</v>
      </c>
      <c r="D26" s="56" t="s">
        <v>372</v>
      </c>
      <c r="E26" s="57">
        <v>3</v>
      </c>
      <c r="F26" s="58" t="s">
        <v>357</v>
      </c>
      <c r="G26" s="59"/>
      <c r="K26" s="50"/>
      <c r="L26" s="51"/>
      <c r="M26" s="52"/>
      <c r="N26" s="51"/>
      <c r="O26" s="52"/>
      <c r="P26" s="51"/>
      <c r="Q26" s="52"/>
    </row>
    <row r="27" spans="3:17" s="49" customFormat="1" ht="20.149999999999999" customHeight="1">
      <c r="C27" s="62" t="s">
        <v>373</v>
      </c>
      <c r="D27" s="56" t="s">
        <v>374</v>
      </c>
      <c r="E27" s="57">
        <v>2</v>
      </c>
      <c r="F27" s="58" t="s">
        <v>357</v>
      </c>
      <c r="G27" s="59" t="s">
        <v>375</v>
      </c>
      <c r="K27" s="50"/>
      <c r="L27" s="51"/>
      <c r="M27" s="52"/>
      <c r="N27" s="51"/>
      <c r="O27" s="52"/>
      <c r="P27" s="51"/>
      <c r="Q27" s="52"/>
    </row>
    <row r="28" spans="3:17" s="49" customFormat="1" ht="20.149999999999999" customHeight="1">
      <c r="C28" s="55"/>
      <c r="D28" s="56"/>
      <c r="E28" s="57"/>
      <c r="F28" s="58"/>
      <c r="G28" s="59"/>
      <c r="K28" s="50"/>
      <c r="L28" s="51"/>
      <c r="M28" s="52"/>
      <c r="N28" s="51"/>
      <c r="O28" s="52"/>
      <c r="P28" s="51"/>
      <c r="Q28" s="52"/>
    </row>
    <row r="29" spans="3:17" s="49" customFormat="1" ht="20.149999999999999" customHeight="1">
      <c r="C29" s="55"/>
      <c r="D29" s="56"/>
      <c r="E29" s="57"/>
      <c r="F29" s="58"/>
      <c r="G29" s="59"/>
      <c r="K29" s="50"/>
      <c r="L29" s="51"/>
      <c r="M29" s="52"/>
      <c r="N29" s="51"/>
      <c r="O29" s="52"/>
      <c r="P29" s="51"/>
      <c r="Q29" s="52"/>
    </row>
    <row r="30" spans="3:17" s="49" customFormat="1" ht="20.149999999999999" customHeight="1">
      <c r="C30" s="60" t="s">
        <v>376</v>
      </c>
      <c r="D30" s="61" t="s">
        <v>377</v>
      </c>
      <c r="E30" s="57"/>
      <c r="F30" s="58"/>
      <c r="G30" s="59"/>
      <c r="K30" s="50"/>
      <c r="L30" s="51"/>
      <c r="M30" s="52"/>
      <c r="N30" s="51"/>
      <c r="O30" s="52"/>
      <c r="P30" s="51"/>
      <c r="Q30" s="52"/>
    </row>
    <row r="31" spans="3:17" s="49" customFormat="1" ht="20.149999999999999" customHeight="1">
      <c r="C31" s="62" t="s">
        <v>330</v>
      </c>
      <c r="D31" s="56" t="s">
        <v>331</v>
      </c>
      <c r="E31" s="57">
        <v>6</v>
      </c>
      <c r="F31" s="58" t="s">
        <v>332</v>
      </c>
      <c r="G31" s="59"/>
      <c r="K31" s="50"/>
      <c r="L31" s="51"/>
      <c r="M31" s="52"/>
      <c r="N31" s="51"/>
      <c r="O31" s="52"/>
      <c r="P31" s="51"/>
      <c r="Q31" s="52"/>
    </row>
    <row r="32" spans="3:17" s="49" customFormat="1" ht="20.149999999999999" customHeight="1">
      <c r="C32" s="62" t="s">
        <v>333</v>
      </c>
      <c r="D32" s="56" t="s">
        <v>378</v>
      </c>
      <c r="E32" s="57">
        <v>6</v>
      </c>
      <c r="F32" s="58" t="s">
        <v>357</v>
      </c>
      <c r="G32" s="59"/>
      <c r="K32" s="50"/>
      <c r="L32" s="51"/>
      <c r="M32" s="52"/>
      <c r="N32" s="51"/>
      <c r="O32" s="52"/>
      <c r="P32" s="51"/>
      <c r="Q32" s="52"/>
    </row>
    <row r="33" spans="3:17" s="49" customFormat="1" ht="20.149999999999999" customHeight="1">
      <c r="C33" s="62" t="s">
        <v>336</v>
      </c>
      <c r="D33" s="56" t="s">
        <v>372</v>
      </c>
      <c r="E33" s="57">
        <v>5</v>
      </c>
      <c r="F33" s="58" t="s">
        <v>357</v>
      </c>
      <c r="G33" s="59"/>
      <c r="K33" s="50"/>
      <c r="L33" s="51"/>
      <c r="M33" s="52"/>
      <c r="N33" s="51"/>
      <c r="O33" s="52"/>
      <c r="P33" s="51"/>
      <c r="Q33" s="52"/>
    </row>
    <row r="34" spans="3:17" s="49" customFormat="1" ht="20.149999999999999" customHeight="1">
      <c r="C34" s="62" t="s">
        <v>339</v>
      </c>
      <c r="D34" s="56" t="s">
        <v>379</v>
      </c>
      <c r="E34" s="57">
        <v>5</v>
      </c>
      <c r="F34" s="58" t="s">
        <v>380</v>
      </c>
      <c r="G34" s="59"/>
      <c r="K34" s="50"/>
      <c r="L34" s="51"/>
      <c r="M34" s="52"/>
      <c r="N34" s="51"/>
      <c r="O34" s="52"/>
      <c r="P34" s="51"/>
      <c r="Q34" s="52"/>
    </row>
    <row r="35" spans="3:17" s="49" customFormat="1" ht="20.149999999999999" customHeight="1">
      <c r="C35" s="62" t="s">
        <v>341</v>
      </c>
      <c r="D35" s="56" t="s">
        <v>318</v>
      </c>
      <c r="E35" s="57">
        <v>5</v>
      </c>
      <c r="F35" s="58" t="s">
        <v>357</v>
      </c>
      <c r="G35" s="59"/>
      <c r="K35" s="50"/>
      <c r="L35" s="51"/>
      <c r="M35" s="52"/>
      <c r="N35" s="51"/>
      <c r="O35" s="52"/>
      <c r="P35" s="51"/>
      <c r="Q35" s="52"/>
    </row>
    <row r="36" spans="3:17" s="49" customFormat="1" ht="20.149999999999999" customHeight="1">
      <c r="C36" s="62" t="s">
        <v>343</v>
      </c>
      <c r="D36" s="56" t="s">
        <v>381</v>
      </c>
      <c r="E36" s="57">
        <v>12</v>
      </c>
      <c r="F36" s="58" t="s">
        <v>357</v>
      </c>
      <c r="G36" s="59"/>
      <c r="K36" s="50"/>
      <c r="L36" s="51"/>
      <c r="M36" s="52"/>
      <c r="N36" s="51"/>
      <c r="O36" s="52"/>
      <c r="P36" s="51"/>
      <c r="Q36" s="52"/>
    </row>
    <row r="37" spans="3:17" s="49" customFormat="1" ht="20.149999999999999" customHeight="1">
      <c r="C37" s="62" t="s">
        <v>345</v>
      </c>
      <c r="D37" s="56" t="s">
        <v>282</v>
      </c>
      <c r="E37" s="57">
        <v>4</v>
      </c>
      <c r="F37" s="58" t="s">
        <v>335</v>
      </c>
      <c r="G37" s="59"/>
      <c r="K37" s="50"/>
      <c r="L37" s="51"/>
      <c r="M37" s="52"/>
      <c r="N37" s="51"/>
      <c r="O37" s="52"/>
      <c r="P37" s="51"/>
      <c r="Q37" s="52"/>
    </row>
    <row r="38" spans="3:17" s="49" customFormat="1" ht="20.149999999999999" customHeight="1">
      <c r="C38" s="62" t="s">
        <v>347</v>
      </c>
      <c r="D38" s="56" t="s">
        <v>382</v>
      </c>
      <c r="E38" s="57">
        <v>3</v>
      </c>
      <c r="F38" s="58" t="s">
        <v>335</v>
      </c>
      <c r="G38" s="59"/>
      <c r="K38" s="50"/>
      <c r="L38" s="51"/>
      <c r="M38" s="52"/>
      <c r="N38" s="51"/>
      <c r="O38" s="52"/>
      <c r="P38" s="51"/>
      <c r="Q38" s="52"/>
    </row>
    <row r="39" spans="3:17" s="49" customFormat="1" ht="20.149999999999999" customHeight="1">
      <c r="C39" s="62" t="s">
        <v>350</v>
      </c>
      <c r="D39" s="56" t="s">
        <v>383</v>
      </c>
      <c r="E39" s="57">
        <v>1</v>
      </c>
      <c r="F39" s="58" t="s">
        <v>335</v>
      </c>
      <c r="G39" s="59"/>
      <c r="K39" s="50"/>
      <c r="L39" s="51"/>
      <c r="M39" s="52"/>
      <c r="N39" s="51"/>
      <c r="O39" s="52"/>
      <c r="P39" s="51"/>
      <c r="Q39" s="52"/>
    </row>
    <row r="40" spans="3:17" s="49" customFormat="1" ht="20.149999999999999" customHeight="1">
      <c r="C40" s="62" t="s">
        <v>352</v>
      </c>
      <c r="D40" s="56" t="s">
        <v>384</v>
      </c>
      <c r="E40" s="57">
        <v>1</v>
      </c>
      <c r="F40" s="58" t="s">
        <v>335</v>
      </c>
      <c r="G40" s="59"/>
      <c r="K40" s="50"/>
      <c r="L40" s="51"/>
      <c r="M40" s="52"/>
      <c r="N40" s="51"/>
      <c r="O40" s="52"/>
      <c r="P40" s="51"/>
      <c r="Q40" s="52"/>
    </row>
    <row r="41" spans="3:17" s="49" customFormat="1" ht="20.149999999999999" customHeight="1">
      <c r="C41" s="62" t="s">
        <v>355</v>
      </c>
      <c r="D41" s="56" t="s">
        <v>385</v>
      </c>
      <c r="E41" s="57">
        <v>1</v>
      </c>
      <c r="F41" s="58" t="s">
        <v>335</v>
      </c>
      <c r="G41" s="59"/>
      <c r="K41" s="50"/>
      <c r="L41" s="51"/>
      <c r="M41" s="52"/>
      <c r="N41" s="51"/>
      <c r="O41" s="52"/>
      <c r="P41" s="51"/>
      <c r="Q41" s="52"/>
    </row>
    <row r="42" spans="3:17" s="49" customFormat="1" ht="20.149999999999999" customHeight="1">
      <c r="C42" s="62" t="s">
        <v>358</v>
      </c>
      <c r="D42" s="56" t="s">
        <v>386</v>
      </c>
      <c r="E42" s="57">
        <v>1</v>
      </c>
      <c r="F42" s="58" t="s">
        <v>335</v>
      </c>
      <c r="G42" s="59"/>
      <c r="K42" s="50"/>
      <c r="L42" s="51"/>
      <c r="M42" s="52"/>
      <c r="N42" s="51"/>
      <c r="O42" s="52"/>
      <c r="P42" s="51"/>
      <c r="Q42" s="52"/>
    </row>
    <row r="43" spans="3:17" s="49" customFormat="1" ht="20.149999999999999" customHeight="1">
      <c r="C43" s="62" t="s">
        <v>359</v>
      </c>
      <c r="D43" s="56" t="s">
        <v>387</v>
      </c>
      <c r="E43" s="57">
        <v>1</v>
      </c>
      <c r="F43" s="58" t="s">
        <v>335</v>
      </c>
      <c r="G43" s="59"/>
      <c r="K43" s="50"/>
      <c r="L43" s="51"/>
      <c r="M43" s="52"/>
      <c r="N43" s="51"/>
      <c r="O43" s="52"/>
      <c r="P43" s="51"/>
      <c r="Q43" s="52"/>
    </row>
    <row r="44" spans="3:17" s="49" customFormat="1" ht="20.149999999999999" customHeight="1">
      <c r="C44" s="62" t="s">
        <v>361</v>
      </c>
      <c r="D44" s="56" t="s">
        <v>388</v>
      </c>
      <c r="E44" s="57">
        <v>1</v>
      </c>
      <c r="F44" s="58" t="s">
        <v>335</v>
      </c>
      <c r="G44" s="59"/>
      <c r="K44" s="50"/>
      <c r="L44" s="51"/>
      <c r="M44" s="52"/>
      <c r="N44" s="51"/>
      <c r="O44" s="52"/>
      <c r="P44" s="51"/>
      <c r="Q44" s="52"/>
    </row>
    <row r="45" spans="3:17" s="49" customFormat="1" ht="20.149999999999999" customHeight="1">
      <c r="C45" s="62" t="s">
        <v>363</v>
      </c>
      <c r="D45" s="56" t="s">
        <v>389</v>
      </c>
      <c r="E45" s="57">
        <v>1</v>
      </c>
      <c r="F45" s="58" t="s">
        <v>335</v>
      </c>
      <c r="G45" s="59"/>
      <c r="K45" s="50"/>
      <c r="L45" s="51"/>
      <c r="M45" s="52"/>
      <c r="N45" s="51"/>
      <c r="O45" s="52"/>
      <c r="P45" s="51"/>
      <c r="Q45" s="52"/>
    </row>
    <row r="46" spans="3:17" s="49" customFormat="1" ht="20.149999999999999" customHeight="1">
      <c r="C46" s="62" t="s">
        <v>365</v>
      </c>
      <c r="D46" s="56" t="s">
        <v>390</v>
      </c>
      <c r="E46" s="57">
        <v>1</v>
      </c>
      <c r="F46" s="58" t="s">
        <v>335</v>
      </c>
      <c r="G46" s="59"/>
      <c r="K46" s="50"/>
      <c r="L46" s="51"/>
      <c r="M46" s="52"/>
      <c r="N46" s="51"/>
      <c r="O46" s="52"/>
      <c r="P46" s="51"/>
      <c r="Q46" s="52"/>
    </row>
    <row r="47" spans="3:17" s="49" customFormat="1" ht="20.149999999999999" customHeight="1">
      <c r="C47" s="62" t="s">
        <v>367</v>
      </c>
      <c r="D47" s="56" t="s">
        <v>391</v>
      </c>
      <c r="E47" s="57">
        <v>1</v>
      </c>
      <c r="F47" s="58" t="s">
        <v>357</v>
      </c>
      <c r="G47" s="59"/>
      <c r="K47" s="50"/>
      <c r="L47" s="51"/>
      <c r="M47" s="52"/>
      <c r="N47" s="51"/>
      <c r="O47" s="52"/>
      <c r="P47" s="51"/>
      <c r="Q47" s="52"/>
    </row>
    <row r="48" spans="3:17" s="49" customFormat="1" ht="20.149999999999999" customHeight="1">
      <c r="C48" s="62" t="s">
        <v>369</v>
      </c>
      <c r="D48" s="56" t="s">
        <v>392</v>
      </c>
      <c r="E48" s="57">
        <v>5</v>
      </c>
      <c r="F48" s="58" t="s">
        <v>357</v>
      </c>
      <c r="G48" s="59"/>
      <c r="K48" s="50"/>
      <c r="L48" s="51"/>
      <c r="M48" s="52"/>
      <c r="N48" s="51"/>
      <c r="O48" s="52"/>
      <c r="P48" s="51"/>
      <c r="Q48" s="52"/>
    </row>
    <row r="49" spans="3:17" s="49" customFormat="1" ht="20.149999999999999" customHeight="1">
      <c r="C49" s="62" t="s">
        <v>371</v>
      </c>
      <c r="D49" s="56" t="s">
        <v>393</v>
      </c>
      <c r="E49" s="57">
        <v>2</v>
      </c>
      <c r="F49" s="58" t="s">
        <v>357</v>
      </c>
      <c r="G49" s="59"/>
      <c r="K49" s="50"/>
      <c r="L49" s="51"/>
      <c r="M49" s="52"/>
      <c r="N49" s="51"/>
      <c r="O49" s="52"/>
      <c r="P49" s="51"/>
      <c r="Q49" s="52"/>
    </row>
    <row r="50" spans="3:17" s="49" customFormat="1" ht="20.149999999999999" customHeight="1">
      <c r="C50" s="62"/>
      <c r="D50" s="56"/>
      <c r="E50" s="57"/>
      <c r="F50" s="58"/>
      <c r="G50" s="59"/>
      <c r="K50" s="50"/>
      <c r="L50" s="51"/>
      <c r="M50" s="52"/>
      <c r="N50" s="51"/>
      <c r="O50" s="52"/>
      <c r="P50" s="51"/>
      <c r="Q50" s="52"/>
    </row>
    <row r="51" spans="3:17" s="49" customFormat="1" ht="20.149999999999999" customHeight="1">
      <c r="C51" s="55"/>
      <c r="D51" s="56"/>
      <c r="E51" s="57"/>
      <c r="F51" s="58"/>
      <c r="G51" s="59"/>
      <c r="K51" s="50"/>
      <c r="L51" s="51"/>
      <c r="M51" s="52"/>
      <c r="N51" s="51"/>
      <c r="O51" s="52"/>
      <c r="P51" s="51"/>
      <c r="Q51" s="52"/>
    </row>
    <row r="52" spans="3:17" s="49" customFormat="1" ht="20.149999999999999" customHeight="1">
      <c r="C52" s="60" t="s">
        <v>394</v>
      </c>
      <c r="D52" s="61" t="s">
        <v>395</v>
      </c>
      <c r="E52" s="57"/>
      <c r="F52" s="58"/>
      <c r="G52" s="59"/>
      <c r="K52" s="50"/>
      <c r="L52" s="51"/>
      <c r="M52" s="52"/>
      <c r="N52" s="51"/>
      <c r="O52" s="52"/>
      <c r="P52" s="51"/>
      <c r="Q52" s="52"/>
    </row>
    <row r="53" spans="3:17" s="49" customFormat="1" ht="20.149999999999999" customHeight="1">
      <c r="C53" s="62" t="s">
        <v>330</v>
      </c>
      <c r="D53" s="56" t="s">
        <v>396</v>
      </c>
      <c r="E53" s="57">
        <v>3</v>
      </c>
      <c r="F53" s="58" t="s">
        <v>397</v>
      </c>
      <c r="G53" s="59"/>
      <c r="H53" s="64"/>
      <c r="K53" s="50"/>
      <c r="L53" s="51"/>
      <c r="M53" s="52"/>
      <c r="N53" s="51"/>
      <c r="O53" s="52"/>
      <c r="P53" s="51"/>
      <c r="Q53" s="52"/>
    </row>
    <row r="54" spans="3:17" s="49" customFormat="1" ht="20.149999999999999" customHeight="1">
      <c r="C54" s="62" t="s">
        <v>333</v>
      </c>
      <c r="D54" s="56" t="s">
        <v>398</v>
      </c>
      <c r="E54" s="57">
        <v>2</v>
      </c>
      <c r="F54" s="58" t="s">
        <v>399</v>
      </c>
      <c r="G54" s="59"/>
      <c r="K54" s="50"/>
      <c r="L54" s="51"/>
      <c r="M54" s="52"/>
      <c r="N54" s="51"/>
      <c r="O54" s="52"/>
      <c r="P54" s="51"/>
      <c r="Q54" s="52"/>
    </row>
    <row r="55" spans="3:17" s="49" customFormat="1" ht="20.149999999999999" customHeight="1">
      <c r="C55" s="62" t="s">
        <v>336</v>
      </c>
      <c r="D55" s="56" t="s">
        <v>400</v>
      </c>
      <c r="E55" s="57">
        <v>2</v>
      </c>
      <c r="F55" s="58" t="s">
        <v>401</v>
      </c>
      <c r="G55" s="59"/>
      <c r="K55" s="50"/>
      <c r="L55" s="51"/>
      <c r="M55" s="52"/>
      <c r="N55" s="51"/>
      <c r="O55" s="52"/>
      <c r="P55" s="51"/>
      <c r="Q55" s="52"/>
    </row>
    <row r="56" spans="3:17" s="49" customFormat="1" ht="20.149999999999999" customHeight="1">
      <c r="C56" s="62" t="s">
        <v>339</v>
      </c>
      <c r="D56" s="56" t="s">
        <v>402</v>
      </c>
      <c r="E56" s="57">
        <v>2</v>
      </c>
      <c r="F56" s="58" t="s">
        <v>401</v>
      </c>
      <c r="G56" s="59"/>
      <c r="K56" s="50"/>
      <c r="L56" s="51"/>
      <c r="M56" s="52"/>
      <c r="N56" s="51"/>
      <c r="O56" s="52"/>
      <c r="P56" s="51"/>
      <c r="Q56" s="52"/>
    </row>
    <row r="57" spans="3:17" s="49" customFormat="1" ht="20.149999999999999" customHeight="1">
      <c r="C57" s="62" t="s">
        <v>341</v>
      </c>
      <c r="D57" s="56" t="s">
        <v>403</v>
      </c>
      <c r="E57" s="57">
        <v>5</v>
      </c>
      <c r="F57" s="58" t="s">
        <v>404</v>
      </c>
      <c r="G57" s="59"/>
      <c r="K57" s="50"/>
      <c r="L57" s="51"/>
      <c r="M57" s="52"/>
      <c r="N57" s="51"/>
      <c r="O57" s="52"/>
      <c r="P57" s="51"/>
      <c r="Q57" s="52"/>
    </row>
    <row r="58" spans="3:17" s="49" customFormat="1" ht="20.149999999999999" customHeight="1">
      <c r="C58" s="62" t="s">
        <v>343</v>
      </c>
      <c r="D58" s="56" t="s">
        <v>405</v>
      </c>
      <c r="E58" s="57">
        <v>1</v>
      </c>
      <c r="F58" s="58" t="s">
        <v>399</v>
      </c>
      <c r="G58" s="59"/>
      <c r="K58" s="50"/>
      <c r="L58" s="51"/>
      <c r="M58" s="52"/>
      <c r="N58" s="51"/>
      <c r="O58" s="52"/>
      <c r="P58" s="51"/>
      <c r="Q58" s="52"/>
    </row>
    <row r="59" spans="3:17" s="49" customFormat="1" ht="20.149999999999999" customHeight="1">
      <c r="C59" s="62" t="s">
        <v>345</v>
      </c>
      <c r="D59" s="56" t="s">
        <v>406</v>
      </c>
      <c r="E59" s="57">
        <v>1</v>
      </c>
      <c r="F59" s="58" t="s">
        <v>397</v>
      </c>
      <c r="G59" s="59"/>
      <c r="K59" s="50"/>
      <c r="L59" s="51"/>
      <c r="M59" s="52"/>
      <c r="N59" s="51"/>
      <c r="O59" s="52"/>
      <c r="P59" s="51"/>
      <c r="Q59" s="52"/>
    </row>
    <row r="60" spans="3:17" s="49" customFormat="1" ht="20.149999999999999" customHeight="1">
      <c r="C60" s="62" t="s">
        <v>347</v>
      </c>
      <c r="D60" s="56" t="s">
        <v>407</v>
      </c>
      <c r="E60" s="57">
        <v>1</v>
      </c>
      <c r="F60" s="58" t="s">
        <v>397</v>
      </c>
      <c r="G60" s="59"/>
      <c r="K60" s="50"/>
      <c r="L60" s="51"/>
      <c r="M60" s="52"/>
      <c r="N60" s="51"/>
      <c r="O60" s="52"/>
      <c r="P60" s="51"/>
      <c r="Q60" s="52"/>
    </row>
    <row r="61" spans="3:17" s="49" customFormat="1" ht="20.149999999999999" customHeight="1">
      <c r="C61" s="62" t="s">
        <v>350</v>
      </c>
      <c r="D61" s="56" t="s">
        <v>408</v>
      </c>
      <c r="E61" s="57">
        <v>5</v>
      </c>
      <c r="F61" s="58" t="s">
        <v>409</v>
      </c>
      <c r="G61" s="59"/>
      <c r="K61" s="50"/>
      <c r="L61" s="51"/>
      <c r="M61" s="52"/>
      <c r="N61" s="51"/>
      <c r="O61" s="52"/>
      <c r="P61" s="51"/>
      <c r="Q61" s="52"/>
    </row>
    <row r="62" spans="3:17" s="49" customFormat="1" ht="20.149999999999999" customHeight="1">
      <c r="C62" s="62" t="s">
        <v>352</v>
      </c>
      <c r="D62" s="56" t="s">
        <v>410</v>
      </c>
      <c r="E62" s="57">
        <v>16</v>
      </c>
      <c r="F62" s="58" t="s">
        <v>357</v>
      </c>
      <c r="G62" s="59"/>
      <c r="K62" s="50"/>
      <c r="L62" s="51"/>
      <c r="M62" s="52"/>
      <c r="N62" s="51"/>
      <c r="O62" s="52"/>
      <c r="P62" s="51"/>
      <c r="Q62" s="52"/>
    </row>
    <row r="63" spans="3:17" s="49" customFormat="1" ht="20.149999999999999" customHeight="1">
      <c r="C63" s="62" t="s">
        <v>355</v>
      </c>
      <c r="D63" s="56" t="s">
        <v>411</v>
      </c>
      <c r="E63" s="57">
        <v>8</v>
      </c>
      <c r="F63" s="58" t="s">
        <v>357</v>
      </c>
      <c r="G63" s="59"/>
      <c r="K63" s="50"/>
      <c r="L63" s="51"/>
      <c r="M63" s="52"/>
      <c r="N63" s="51"/>
      <c r="O63" s="52"/>
      <c r="P63" s="51"/>
      <c r="Q63" s="52"/>
    </row>
    <row r="64" spans="3:17" s="49" customFormat="1" ht="20.149999999999999" customHeight="1">
      <c r="C64" s="62" t="s">
        <v>358</v>
      </c>
      <c r="D64" s="56" t="s">
        <v>412</v>
      </c>
      <c r="E64" s="57">
        <v>8</v>
      </c>
      <c r="F64" s="58" t="s">
        <v>357</v>
      </c>
      <c r="G64" s="59"/>
      <c r="K64" s="50"/>
      <c r="L64" s="51"/>
      <c r="M64" s="52"/>
      <c r="N64" s="51"/>
      <c r="O64" s="52"/>
      <c r="P64" s="51"/>
      <c r="Q64" s="52"/>
    </row>
    <row r="65" spans="3:17" s="49" customFormat="1" ht="20.149999999999999" customHeight="1">
      <c r="C65" s="62" t="s">
        <v>359</v>
      </c>
      <c r="D65" s="56" t="s">
        <v>413</v>
      </c>
      <c r="E65" s="57">
        <v>200</v>
      </c>
      <c r="F65" s="58" t="s">
        <v>357</v>
      </c>
      <c r="G65" s="59"/>
      <c r="K65" s="50"/>
      <c r="L65" s="51"/>
      <c r="M65" s="52"/>
      <c r="N65" s="51"/>
      <c r="O65" s="52"/>
      <c r="P65" s="51"/>
      <c r="Q65" s="52"/>
    </row>
    <row r="66" spans="3:17" s="49" customFormat="1" ht="20.149999999999999" customHeight="1">
      <c r="C66" s="62" t="s">
        <v>361</v>
      </c>
      <c r="D66" s="56" t="s">
        <v>414</v>
      </c>
      <c r="E66" s="57">
        <v>1</v>
      </c>
      <c r="F66" s="58" t="s">
        <v>415</v>
      </c>
      <c r="G66" s="59"/>
      <c r="K66" s="50"/>
      <c r="L66" s="51"/>
      <c r="M66" s="52"/>
      <c r="N66" s="51"/>
      <c r="O66" s="52"/>
      <c r="P66" s="51"/>
      <c r="Q66" s="52"/>
    </row>
    <row r="67" spans="3:17" s="49" customFormat="1" ht="20.149999999999999" customHeight="1">
      <c r="C67" s="62" t="s">
        <v>363</v>
      </c>
      <c r="D67" s="56" t="s">
        <v>416</v>
      </c>
      <c r="E67" s="57">
        <v>2</v>
      </c>
      <c r="F67" s="58" t="s">
        <v>357</v>
      </c>
      <c r="G67" s="59"/>
      <c r="K67" s="50"/>
      <c r="L67" s="51"/>
      <c r="M67" s="52"/>
      <c r="N67" s="51"/>
      <c r="O67" s="52"/>
      <c r="P67" s="51"/>
      <c r="Q67" s="52"/>
    </row>
    <row r="68" spans="3:17" s="49" customFormat="1" ht="20.149999999999999" customHeight="1">
      <c r="C68" s="62" t="s">
        <v>365</v>
      </c>
      <c r="D68" s="56" t="s">
        <v>417</v>
      </c>
      <c r="E68" s="57">
        <v>2</v>
      </c>
      <c r="F68" s="58" t="s">
        <v>357</v>
      </c>
      <c r="G68" s="59"/>
      <c r="K68" s="50"/>
      <c r="L68" s="51"/>
      <c r="M68" s="52"/>
      <c r="N68" s="51"/>
      <c r="O68" s="52"/>
      <c r="P68" s="51"/>
      <c r="Q68" s="52"/>
    </row>
    <row r="69" spans="3:17" s="49" customFormat="1" ht="20.149999999999999" customHeight="1">
      <c r="C69" s="62"/>
      <c r="D69" s="56"/>
      <c r="E69" s="57"/>
      <c r="F69" s="58"/>
      <c r="G69" s="59"/>
      <c r="K69" s="50"/>
      <c r="L69" s="51"/>
      <c r="M69" s="52"/>
      <c r="N69" s="51"/>
      <c r="O69" s="52"/>
      <c r="P69" s="51"/>
      <c r="Q69" s="52"/>
    </row>
    <row r="70" spans="3:17" s="49" customFormat="1" ht="20.149999999999999" customHeight="1">
      <c r="C70" s="55"/>
      <c r="D70" s="56"/>
      <c r="E70" s="57"/>
      <c r="F70" s="58"/>
      <c r="G70" s="59"/>
      <c r="K70" s="50"/>
      <c r="L70" s="51"/>
      <c r="M70" s="52"/>
      <c r="N70" s="51"/>
      <c r="O70" s="52"/>
      <c r="P70" s="51"/>
      <c r="Q70" s="52"/>
    </row>
    <row r="71" spans="3:17" s="49" customFormat="1" ht="20.149999999999999" customHeight="1">
      <c r="C71" s="60" t="s">
        <v>418</v>
      </c>
      <c r="D71" s="61" t="s">
        <v>419</v>
      </c>
      <c r="E71" s="57"/>
      <c r="F71" s="58"/>
      <c r="G71" s="59"/>
      <c r="K71" s="50"/>
      <c r="L71" s="51"/>
      <c r="M71" s="52"/>
      <c r="N71" s="51"/>
      <c r="O71" s="52"/>
      <c r="P71" s="51"/>
      <c r="Q71" s="52"/>
    </row>
    <row r="72" spans="3:17" s="49" customFormat="1" ht="20.149999999999999" customHeight="1">
      <c r="C72" s="62" t="s">
        <v>330</v>
      </c>
      <c r="D72" s="56" t="s">
        <v>420</v>
      </c>
      <c r="E72" s="57">
        <v>2</v>
      </c>
      <c r="F72" s="58" t="s">
        <v>335</v>
      </c>
      <c r="G72" s="59"/>
      <c r="H72" s="64"/>
      <c r="K72" s="50"/>
      <c r="L72" s="51"/>
      <c r="M72" s="52"/>
      <c r="N72" s="51"/>
      <c r="O72" s="52"/>
      <c r="P72" s="51"/>
      <c r="Q72" s="52"/>
    </row>
    <row r="73" spans="3:17" s="49" customFormat="1" ht="20.149999999999999" customHeight="1">
      <c r="C73" s="62" t="s">
        <v>333</v>
      </c>
      <c r="D73" s="56" t="s">
        <v>421</v>
      </c>
      <c r="E73" s="57">
        <v>6</v>
      </c>
      <c r="F73" s="58" t="s">
        <v>335</v>
      </c>
      <c r="G73" s="59"/>
      <c r="K73" s="50"/>
      <c r="L73" s="51"/>
      <c r="M73" s="52"/>
      <c r="N73" s="51"/>
      <c r="O73" s="52"/>
      <c r="P73" s="51"/>
      <c r="Q73" s="52"/>
    </row>
    <row r="74" spans="3:17" s="49" customFormat="1" ht="20.149999999999999" customHeight="1">
      <c r="C74" s="62" t="s">
        <v>336</v>
      </c>
      <c r="D74" s="56" t="s">
        <v>422</v>
      </c>
      <c r="E74" s="57">
        <v>2</v>
      </c>
      <c r="F74" s="58" t="s">
        <v>335</v>
      </c>
      <c r="G74" s="59"/>
      <c r="K74" s="50"/>
      <c r="L74" s="51"/>
      <c r="M74" s="52"/>
      <c r="N74" s="51"/>
      <c r="O74" s="52"/>
      <c r="P74" s="51"/>
      <c r="Q74" s="52"/>
    </row>
    <row r="75" spans="3:17" s="49" customFormat="1" ht="20.149999999999999" customHeight="1">
      <c r="C75" s="62" t="s">
        <v>339</v>
      </c>
      <c r="D75" s="56" t="s">
        <v>423</v>
      </c>
      <c r="E75" s="57">
        <v>3</v>
      </c>
      <c r="F75" s="58" t="s">
        <v>335</v>
      </c>
      <c r="G75" s="59"/>
      <c r="K75" s="50"/>
      <c r="L75" s="51"/>
      <c r="M75" s="52"/>
      <c r="N75" s="51"/>
      <c r="O75" s="52"/>
      <c r="P75" s="51"/>
      <c r="Q75" s="52"/>
    </row>
    <row r="76" spans="3:17" s="49" customFormat="1" ht="20.149999999999999" customHeight="1">
      <c r="C76" s="62" t="s">
        <v>341</v>
      </c>
      <c r="D76" s="56" t="s">
        <v>424</v>
      </c>
      <c r="E76" s="57">
        <v>1</v>
      </c>
      <c r="F76" s="58" t="s">
        <v>380</v>
      </c>
      <c r="G76" s="59"/>
      <c r="K76" s="50"/>
      <c r="L76" s="51"/>
      <c r="M76" s="52"/>
      <c r="N76" s="51"/>
      <c r="O76" s="52"/>
      <c r="P76" s="51"/>
      <c r="Q76" s="52"/>
    </row>
    <row r="77" spans="3:17" s="49" customFormat="1" ht="20.149999999999999" customHeight="1">
      <c r="C77" s="62" t="s">
        <v>343</v>
      </c>
      <c r="D77" s="56" t="s">
        <v>304</v>
      </c>
      <c r="E77" s="57">
        <v>1</v>
      </c>
      <c r="F77" s="58" t="s">
        <v>380</v>
      </c>
      <c r="G77" s="59"/>
      <c r="K77" s="50"/>
      <c r="L77" s="51"/>
      <c r="M77" s="52"/>
      <c r="N77" s="51"/>
      <c r="O77" s="52"/>
      <c r="P77" s="51"/>
      <c r="Q77" s="52"/>
    </row>
    <row r="78" spans="3:17" s="49" customFormat="1" ht="20.149999999999999" customHeight="1">
      <c r="C78" s="62" t="s">
        <v>345</v>
      </c>
      <c r="D78" s="56" t="s">
        <v>425</v>
      </c>
      <c r="E78" s="57">
        <v>1</v>
      </c>
      <c r="F78" s="58" t="s">
        <v>380</v>
      </c>
      <c r="G78" s="59"/>
      <c r="K78" s="50"/>
      <c r="L78" s="51"/>
      <c r="M78" s="52"/>
      <c r="N78" s="51"/>
      <c r="O78" s="52"/>
      <c r="P78" s="51"/>
      <c r="Q78" s="52"/>
    </row>
    <row r="79" spans="3:17" s="49" customFormat="1" ht="20.149999999999999" customHeight="1">
      <c r="C79" s="62" t="s">
        <v>347</v>
      </c>
      <c r="D79" s="56" t="s">
        <v>426</v>
      </c>
      <c r="E79" s="57">
        <v>1</v>
      </c>
      <c r="F79" s="58" t="s">
        <v>380</v>
      </c>
      <c r="G79" s="59"/>
      <c r="K79" s="50"/>
      <c r="L79" s="51"/>
      <c r="M79" s="52"/>
      <c r="N79" s="51"/>
      <c r="O79" s="52"/>
      <c r="P79" s="51"/>
      <c r="Q79" s="52"/>
    </row>
    <row r="80" spans="3:17" s="49" customFormat="1" ht="20.149999999999999" customHeight="1">
      <c r="C80" s="62" t="s">
        <v>350</v>
      </c>
      <c r="D80" s="56" t="s">
        <v>427</v>
      </c>
      <c r="E80" s="57">
        <v>1</v>
      </c>
      <c r="F80" s="58" t="s">
        <v>380</v>
      </c>
      <c r="G80" s="59"/>
      <c r="K80" s="50"/>
      <c r="L80" s="51"/>
      <c r="M80" s="52"/>
      <c r="N80" s="51"/>
      <c r="O80" s="52"/>
      <c r="P80" s="51"/>
      <c r="Q80" s="52"/>
    </row>
    <row r="81" spans="3:17" s="49" customFormat="1" ht="20.149999999999999" customHeight="1">
      <c r="C81" s="62" t="s">
        <v>352</v>
      </c>
      <c r="D81" s="56" t="s">
        <v>296</v>
      </c>
      <c r="E81" s="57">
        <v>1</v>
      </c>
      <c r="F81" s="58" t="s">
        <v>380</v>
      </c>
      <c r="G81" s="59"/>
      <c r="K81" s="50"/>
      <c r="L81" s="51"/>
      <c r="M81" s="52"/>
      <c r="N81" s="51"/>
      <c r="O81" s="52"/>
      <c r="P81" s="51"/>
      <c r="Q81" s="52"/>
    </row>
    <row r="82" spans="3:17" s="49" customFormat="1" ht="20.149999999999999" customHeight="1">
      <c r="C82" s="62" t="s">
        <v>355</v>
      </c>
      <c r="D82" s="56" t="s">
        <v>428</v>
      </c>
      <c r="E82" s="57">
        <v>1</v>
      </c>
      <c r="F82" s="58" t="s">
        <v>380</v>
      </c>
      <c r="G82" s="59"/>
      <c r="K82" s="50"/>
      <c r="L82" s="51"/>
      <c r="M82" s="52"/>
      <c r="N82" s="51"/>
      <c r="O82" s="52"/>
      <c r="P82" s="51"/>
      <c r="Q82" s="52"/>
    </row>
    <row r="83" spans="3:17" s="49" customFormat="1" ht="20.149999999999999" customHeight="1">
      <c r="C83" s="62" t="s">
        <v>358</v>
      </c>
      <c r="D83" s="56" t="s">
        <v>429</v>
      </c>
      <c r="E83" s="57">
        <v>1</v>
      </c>
      <c r="F83" s="58" t="s">
        <v>380</v>
      </c>
      <c r="G83" s="59"/>
      <c r="K83" s="50"/>
      <c r="L83" s="51"/>
      <c r="M83" s="52"/>
      <c r="N83" s="51"/>
      <c r="O83" s="52"/>
      <c r="P83" s="51"/>
      <c r="Q83" s="52"/>
    </row>
    <row r="84" spans="3:17" s="49" customFormat="1" ht="20.149999999999999" customHeight="1">
      <c r="C84" s="62" t="s">
        <v>359</v>
      </c>
      <c r="D84" s="56" t="s">
        <v>430</v>
      </c>
      <c r="E84" s="57">
        <v>1</v>
      </c>
      <c r="F84" s="58" t="s">
        <v>380</v>
      </c>
      <c r="G84" s="59"/>
      <c r="K84" s="50"/>
      <c r="L84" s="51"/>
      <c r="M84" s="52"/>
      <c r="N84" s="51"/>
      <c r="O84" s="52"/>
      <c r="P84" s="51"/>
      <c r="Q84" s="52"/>
    </row>
    <row r="85" spans="3:17" s="49" customFormat="1" ht="20.149999999999999" customHeight="1">
      <c r="C85" s="62" t="s">
        <v>361</v>
      </c>
      <c r="D85" s="56" t="s">
        <v>431</v>
      </c>
      <c r="E85" s="57">
        <v>5</v>
      </c>
      <c r="F85" s="58" t="s">
        <v>335</v>
      </c>
      <c r="G85" s="59"/>
      <c r="K85" s="50"/>
      <c r="L85" s="51"/>
      <c r="M85" s="52"/>
      <c r="N85" s="51"/>
      <c r="O85" s="52"/>
      <c r="P85" s="51"/>
      <c r="Q85" s="52"/>
    </row>
    <row r="86" spans="3:17" s="49" customFormat="1" ht="20.149999999999999" customHeight="1">
      <c r="C86" s="62" t="s">
        <v>363</v>
      </c>
      <c r="D86" s="56" t="s">
        <v>432</v>
      </c>
      <c r="E86" s="57">
        <v>1</v>
      </c>
      <c r="F86" s="58" t="s">
        <v>335</v>
      </c>
      <c r="G86" s="59"/>
      <c r="K86" s="50"/>
      <c r="L86" s="51"/>
      <c r="M86" s="52"/>
      <c r="N86" s="51"/>
      <c r="O86" s="52"/>
      <c r="P86" s="51"/>
      <c r="Q86" s="52"/>
    </row>
    <row r="87" spans="3:17" s="49" customFormat="1" ht="20.149999999999999" customHeight="1">
      <c r="C87" s="62" t="s">
        <v>365</v>
      </c>
      <c r="D87" s="56" t="s">
        <v>433</v>
      </c>
      <c r="E87" s="57">
        <v>1</v>
      </c>
      <c r="F87" s="58" t="s">
        <v>335</v>
      </c>
      <c r="G87" s="59"/>
      <c r="K87" s="50"/>
      <c r="L87" s="51"/>
      <c r="M87" s="52"/>
      <c r="N87" s="51"/>
      <c r="O87" s="52"/>
      <c r="P87" s="51"/>
      <c r="Q87" s="52"/>
    </row>
    <row r="88" spans="3:17" s="49" customFormat="1" ht="20.149999999999999" customHeight="1">
      <c r="C88" s="62" t="s">
        <v>367</v>
      </c>
      <c r="D88" s="56" t="s">
        <v>434</v>
      </c>
      <c r="E88" s="57">
        <v>1</v>
      </c>
      <c r="F88" s="58" t="s">
        <v>335</v>
      </c>
      <c r="G88" s="59"/>
      <c r="K88" s="50"/>
      <c r="L88" s="51"/>
      <c r="M88" s="52"/>
      <c r="N88" s="51"/>
      <c r="O88" s="52"/>
      <c r="P88" s="51"/>
      <c r="Q88" s="52"/>
    </row>
    <row r="89" spans="3:17" s="49" customFormat="1" ht="20.149999999999999" customHeight="1">
      <c r="C89" s="62" t="s">
        <v>369</v>
      </c>
      <c r="D89" s="56" t="s">
        <v>303</v>
      </c>
      <c r="E89" s="57">
        <v>2</v>
      </c>
      <c r="F89" s="58" t="s">
        <v>335</v>
      </c>
      <c r="G89" s="59"/>
      <c r="K89" s="50"/>
      <c r="L89" s="51"/>
      <c r="M89" s="52"/>
      <c r="N89" s="51"/>
      <c r="O89" s="52"/>
      <c r="P89" s="51"/>
      <c r="Q89" s="52"/>
    </row>
    <row r="90" spans="3:17" s="49" customFormat="1" ht="20.149999999999999" customHeight="1">
      <c r="C90" s="62" t="s">
        <v>371</v>
      </c>
      <c r="D90" s="56" t="s">
        <v>435</v>
      </c>
      <c r="E90" s="57">
        <v>1</v>
      </c>
      <c r="F90" s="58" t="s">
        <v>335</v>
      </c>
      <c r="G90" s="59"/>
      <c r="K90" s="50"/>
      <c r="L90" s="51"/>
      <c r="M90" s="52"/>
      <c r="N90" s="51"/>
      <c r="O90" s="52"/>
      <c r="P90" s="51"/>
      <c r="Q90" s="52"/>
    </row>
    <row r="91" spans="3:17" s="49" customFormat="1" ht="20.149999999999999" customHeight="1">
      <c r="C91" s="62" t="s">
        <v>373</v>
      </c>
      <c r="D91" s="56" t="s">
        <v>436</v>
      </c>
      <c r="E91" s="57">
        <v>1</v>
      </c>
      <c r="F91" s="58" t="s">
        <v>335</v>
      </c>
      <c r="G91" s="59"/>
      <c r="K91" s="50"/>
      <c r="L91" s="51"/>
      <c r="M91" s="52"/>
      <c r="N91" s="51"/>
      <c r="O91" s="52"/>
      <c r="P91" s="51"/>
      <c r="Q91" s="52"/>
    </row>
    <row r="92" spans="3:17" s="49" customFormat="1" ht="20.149999999999999" customHeight="1">
      <c r="C92" s="62" t="s">
        <v>437</v>
      </c>
      <c r="D92" s="56" t="s">
        <v>274</v>
      </c>
      <c r="E92" s="57">
        <v>1</v>
      </c>
      <c r="F92" s="58" t="s">
        <v>335</v>
      </c>
      <c r="G92" s="59"/>
      <c r="K92" s="50"/>
      <c r="L92" s="51"/>
      <c r="M92" s="52"/>
      <c r="N92" s="51"/>
      <c r="O92" s="52"/>
      <c r="P92" s="51"/>
      <c r="Q92" s="52"/>
    </row>
    <row r="93" spans="3:17" s="49" customFormat="1" ht="20.149999999999999" customHeight="1">
      <c r="C93" s="62" t="s">
        <v>438</v>
      </c>
      <c r="D93" s="56" t="s">
        <v>275</v>
      </c>
      <c r="E93" s="57">
        <v>1</v>
      </c>
      <c r="F93" s="58" t="s">
        <v>335</v>
      </c>
      <c r="G93" s="59"/>
      <c r="K93" s="50"/>
      <c r="L93" s="51"/>
      <c r="M93" s="52"/>
      <c r="N93" s="51"/>
      <c r="O93" s="52"/>
      <c r="P93" s="51"/>
      <c r="Q93" s="52"/>
    </row>
    <row r="94" spans="3:17" s="49" customFormat="1" ht="20.149999999999999" customHeight="1">
      <c r="C94" s="62" t="s">
        <v>439</v>
      </c>
      <c r="D94" s="56" t="s">
        <v>440</v>
      </c>
      <c r="E94" s="57">
        <v>1</v>
      </c>
      <c r="F94" s="58" t="s">
        <v>380</v>
      </c>
      <c r="G94" s="59"/>
      <c r="K94" s="50"/>
      <c r="L94" s="51"/>
      <c r="M94" s="52"/>
      <c r="N94" s="51"/>
      <c r="O94" s="52"/>
      <c r="P94" s="51"/>
      <c r="Q94" s="52"/>
    </row>
    <row r="95" spans="3:17" s="49" customFormat="1" ht="20.149999999999999" customHeight="1">
      <c r="C95" s="62" t="s">
        <v>441</v>
      </c>
      <c r="D95" s="56" t="s">
        <v>442</v>
      </c>
      <c r="E95" s="57">
        <v>4</v>
      </c>
      <c r="F95" s="58" t="s">
        <v>357</v>
      </c>
      <c r="G95" s="59" t="s">
        <v>443</v>
      </c>
      <c r="K95" s="50"/>
      <c r="L95" s="51"/>
      <c r="M95" s="52"/>
      <c r="N95" s="51"/>
      <c r="O95" s="52"/>
      <c r="P95" s="51"/>
      <c r="Q95" s="52"/>
    </row>
    <row r="96" spans="3:17" s="49" customFormat="1" ht="20.149999999999999" customHeight="1">
      <c r="C96" s="62" t="s">
        <v>444</v>
      </c>
      <c r="D96" s="56" t="s">
        <v>445</v>
      </c>
      <c r="E96" s="57">
        <v>1</v>
      </c>
      <c r="F96" s="58" t="s">
        <v>335</v>
      </c>
      <c r="G96" s="59"/>
      <c r="K96" s="50"/>
      <c r="L96" s="51"/>
      <c r="M96" s="52"/>
      <c r="N96" s="51"/>
      <c r="O96" s="52"/>
      <c r="P96" s="51"/>
      <c r="Q96" s="52"/>
    </row>
    <row r="97" spans="3:17" s="49" customFormat="1" ht="20.149999999999999" customHeight="1">
      <c r="C97" s="62" t="s">
        <v>446</v>
      </c>
      <c r="D97" s="56" t="s">
        <v>447</v>
      </c>
      <c r="E97" s="57">
        <v>23</v>
      </c>
      <c r="F97" s="58" t="s">
        <v>415</v>
      </c>
      <c r="G97" s="59"/>
      <c r="K97" s="50"/>
      <c r="L97" s="51"/>
      <c r="M97" s="52"/>
      <c r="N97" s="51"/>
      <c r="O97" s="52"/>
      <c r="P97" s="51"/>
      <c r="Q97" s="52"/>
    </row>
    <row r="98" spans="3:17" s="49" customFormat="1" ht="20.149999999999999" customHeight="1">
      <c r="C98" s="62" t="s">
        <v>448</v>
      </c>
      <c r="D98" s="56" t="s">
        <v>449</v>
      </c>
      <c r="E98" s="57">
        <v>1</v>
      </c>
      <c r="F98" s="58" t="s">
        <v>335</v>
      </c>
      <c r="G98" s="59"/>
      <c r="K98" s="50"/>
      <c r="L98" s="51"/>
      <c r="M98" s="52"/>
      <c r="N98" s="51"/>
      <c r="O98" s="52"/>
      <c r="P98" s="51"/>
      <c r="Q98" s="52"/>
    </row>
    <row r="99" spans="3:17" s="49" customFormat="1" ht="20.149999999999999" customHeight="1">
      <c r="C99" s="62" t="s">
        <v>450</v>
      </c>
      <c r="D99" s="56" t="s">
        <v>451</v>
      </c>
      <c r="E99" s="57">
        <v>96</v>
      </c>
      <c r="F99" s="58" t="s">
        <v>415</v>
      </c>
      <c r="G99" s="59"/>
      <c r="K99" s="50"/>
      <c r="L99" s="51"/>
      <c r="M99" s="52"/>
      <c r="N99" s="51"/>
      <c r="O99" s="52"/>
      <c r="P99" s="51"/>
      <c r="Q99" s="52"/>
    </row>
    <row r="100" spans="3:17" s="49" customFormat="1" ht="20.149999999999999" customHeight="1">
      <c r="C100" s="62" t="s">
        <v>452</v>
      </c>
      <c r="D100" s="56" t="s">
        <v>50</v>
      </c>
      <c r="E100" s="57">
        <v>2</v>
      </c>
      <c r="F100" s="58" t="s">
        <v>335</v>
      </c>
      <c r="G100" s="59"/>
      <c r="K100" s="50"/>
      <c r="L100" s="51"/>
      <c r="M100" s="52"/>
      <c r="N100" s="51"/>
      <c r="O100" s="52"/>
      <c r="P100" s="51"/>
      <c r="Q100" s="52"/>
    </row>
    <row r="101" spans="3:17" s="49" customFormat="1" ht="20.149999999999999" customHeight="1">
      <c r="C101" s="62" t="s">
        <v>453</v>
      </c>
      <c r="D101" s="56" t="s">
        <v>454</v>
      </c>
      <c r="E101" s="57">
        <v>1</v>
      </c>
      <c r="F101" s="58" t="s">
        <v>335</v>
      </c>
      <c r="G101" s="59"/>
      <c r="K101" s="50"/>
      <c r="L101" s="51"/>
      <c r="M101" s="52"/>
      <c r="N101" s="51"/>
      <c r="O101" s="52"/>
      <c r="P101" s="51"/>
      <c r="Q101" s="52"/>
    </row>
    <row r="102" spans="3:17" s="49" customFormat="1" ht="20.149999999999999" customHeight="1">
      <c r="C102" s="62" t="s">
        <v>455</v>
      </c>
      <c r="D102" s="56" t="s">
        <v>456</v>
      </c>
      <c r="E102" s="57">
        <v>1</v>
      </c>
      <c r="F102" s="58" t="s">
        <v>380</v>
      </c>
      <c r="G102" s="59"/>
      <c r="K102" s="50"/>
      <c r="L102" s="51"/>
      <c r="M102" s="52"/>
      <c r="N102" s="51"/>
      <c r="O102" s="52"/>
      <c r="P102" s="51"/>
      <c r="Q102" s="52"/>
    </row>
    <row r="103" spans="3:17" s="49" customFormat="1" ht="20.149999999999999" customHeight="1">
      <c r="C103" s="62" t="s">
        <v>457</v>
      </c>
      <c r="D103" s="56" t="s">
        <v>458</v>
      </c>
      <c r="E103" s="57">
        <v>1</v>
      </c>
      <c r="F103" s="58" t="s">
        <v>380</v>
      </c>
      <c r="G103" s="59"/>
      <c r="K103" s="50"/>
      <c r="L103" s="51"/>
      <c r="M103" s="52"/>
      <c r="N103" s="51"/>
      <c r="O103" s="52"/>
      <c r="P103" s="51"/>
      <c r="Q103" s="52"/>
    </row>
    <row r="104" spans="3:17" s="49" customFormat="1" ht="20.149999999999999" customHeight="1">
      <c r="C104" s="62" t="s">
        <v>459</v>
      </c>
      <c r="D104" s="56" t="s">
        <v>460</v>
      </c>
      <c r="E104" s="57">
        <v>1</v>
      </c>
      <c r="F104" s="58" t="s">
        <v>380</v>
      </c>
      <c r="G104" s="59"/>
      <c r="K104" s="50"/>
      <c r="L104" s="51"/>
      <c r="M104" s="52"/>
      <c r="N104" s="51"/>
      <c r="O104" s="52"/>
      <c r="P104" s="51"/>
      <c r="Q104" s="52"/>
    </row>
    <row r="105" spans="3:17" s="49" customFormat="1" ht="20.149999999999999" customHeight="1">
      <c r="C105" s="62" t="s">
        <v>461</v>
      </c>
      <c r="D105" s="56" t="s">
        <v>462</v>
      </c>
      <c r="E105" s="57">
        <v>1</v>
      </c>
      <c r="F105" s="58" t="s">
        <v>380</v>
      </c>
      <c r="G105" s="59"/>
      <c r="K105" s="50"/>
      <c r="L105" s="51"/>
      <c r="M105" s="52"/>
      <c r="N105" s="51"/>
      <c r="O105" s="52"/>
      <c r="P105" s="51"/>
      <c r="Q105" s="52"/>
    </row>
    <row r="106" spans="3:17" s="49" customFormat="1" ht="20.149999999999999" customHeight="1">
      <c r="C106" s="62" t="s">
        <v>463</v>
      </c>
      <c r="D106" s="56" t="s">
        <v>464</v>
      </c>
      <c r="E106" s="57">
        <v>1</v>
      </c>
      <c r="F106" s="58" t="s">
        <v>335</v>
      </c>
      <c r="G106" s="59"/>
      <c r="K106" s="50"/>
      <c r="L106" s="51"/>
      <c r="M106" s="52"/>
      <c r="N106" s="51"/>
      <c r="O106" s="52"/>
      <c r="P106" s="51"/>
      <c r="Q106" s="52"/>
    </row>
    <row r="107" spans="3:17" s="49" customFormat="1" ht="20.149999999999999" customHeight="1">
      <c r="C107" s="62" t="s">
        <v>465</v>
      </c>
      <c r="D107" s="56" t="s">
        <v>466</v>
      </c>
      <c r="E107" s="57">
        <v>1</v>
      </c>
      <c r="F107" s="58" t="s">
        <v>335</v>
      </c>
      <c r="G107" s="59"/>
      <c r="K107" s="50"/>
      <c r="L107" s="51"/>
      <c r="M107" s="52"/>
      <c r="N107" s="51"/>
      <c r="O107" s="52"/>
      <c r="P107" s="51"/>
      <c r="Q107" s="52"/>
    </row>
    <row r="108" spans="3:17" s="49" customFormat="1" ht="20.149999999999999" customHeight="1">
      <c r="C108" s="62" t="s">
        <v>467</v>
      </c>
      <c r="D108" s="56" t="s">
        <v>468</v>
      </c>
      <c r="E108" s="57">
        <v>1</v>
      </c>
      <c r="F108" s="58" t="s">
        <v>357</v>
      </c>
      <c r="G108" s="59"/>
      <c r="K108" s="50"/>
      <c r="L108" s="51"/>
      <c r="M108" s="52"/>
      <c r="N108" s="51"/>
      <c r="O108" s="52"/>
      <c r="P108" s="51"/>
      <c r="Q108" s="52"/>
    </row>
    <row r="109" spans="3:17" s="49" customFormat="1" ht="20.149999999999999" customHeight="1">
      <c r="C109" s="62" t="s">
        <v>469</v>
      </c>
      <c r="D109" s="56" t="s">
        <v>470</v>
      </c>
      <c r="E109" s="57">
        <v>1</v>
      </c>
      <c r="F109" s="58" t="s">
        <v>380</v>
      </c>
      <c r="G109" s="59"/>
      <c r="K109" s="50"/>
      <c r="L109" s="51"/>
      <c r="M109" s="52"/>
      <c r="N109" s="51"/>
      <c r="O109" s="52"/>
      <c r="P109" s="51"/>
      <c r="Q109" s="52"/>
    </row>
    <row r="110" spans="3:17" s="49" customFormat="1" ht="20.149999999999999" customHeight="1">
      <c r="C110" s="62" t="s">
        <v>471</v>
      </c>
      <c r="D110" s="56" t="s">
        <v>472</v>
      </c>
      <c r="E110" s="57">
        <v>3</v>
      </c>
      <c r="F110" s="58" t="s">
        <v>357</v>
      </c>
      <c r="G110" s="59"/>
      <c r="K110" s="50"/>
      <c r="L110" s="51"/>
      <c r="M110" s="52"/>
      <c r="N110" s="51"/>
      <c r="O110" s="52"/>
      <c r="P110" s="51"/>
      <c r="Q110" s="52"/>
    </row>
    <row r="111" spans="3:17" s="49" customFormat="1" ht="20.149999999999999" customHeight="1">
      <c r="C111" s="62" t="s">
        <v>473</v>
      </c>
      <c r="D111" s="56" t="s">
        <v>474</v>
      </c>
      <c r="E111" s="57">
        <v>1</v>
      </c>
      <c r="F111" s="58" t="s">
        <v>335</v>
      </c>
      <c r="G111" s="59"/>
      <c r="K111" s="50"/>
      <c r="L111" s="51"/>
      <c r="M111" s="52"/>
      <c r="N111" s="51"/>
      <c r="O111" s="52"/>
      <c r="P111" s="51"/>
      <c r="Q111" s="52"/>
    </row>
    <row r="112" spans="3:17" s="49" customFormat="1" ht="20.149999999999999" customHeight="1">
      <c r="C112" s="62" t="s">
        <v>475</v>
      </c>
      <c r="D112" s="56" t="s">
        <v>476</v>
      </c>
      <c r="E112" s="57">
        <v>4</v>
      </c>
      <c r="F112" s="58" t="s">
        <v>335</v>
      </c>
      <c r="G112" s="59"/>
      <c r="K112" s="50"/>
      <c r="L112" s="51"/>
      <c r="M112" s="52"/>
      <c r="N112" s="51"/>
      <c r="O112" s="52"/>
      <c r="P112" s="51"/>
      <c r="Q112" s="52"/>
    </row>
    <row r="113" spans="3:17" s="49" customFormat="1" ht="20.149999999999999" customHeight="1">
      <c r="C113" s="62" t="s">
        <v>477</v>
      </c>
      <c r="D113" s="56" t="s">
        <v>478</v>
      </c>
      <c r="E113" s="57">
        <v>1</v>
      </c>
      <c r="F113" s="58" t="s">
        <v>335</v>
      </c>
      <c r="G113" s="59"/>
      <c r="K113" s="50"/>
      <c r="L113" s="51"/>
      <c r="M113" s="52"/>
      <c r="N113" s="51"/>
      <c r="O113" s="52"/>
      <c r="P113" s="51"/>
      <c r="Q113" s="52"/>
    </row>
    <row r="114" spans="3:17" s="49" customFormat="1" ht="20.149999999999999" customHeight="1">
      <c r="C114" s="62" t="s">
        <v>479</v>
      </c>
      <c r="D114" s="56" t="s">
        <v>480</v>
      </c>
      <c r="E114" s="57">
        <v>8</v>
      </c>
      <c r="F114" s="58" t="s">
        <v>357</v>
      </c>
      <c r="G114" s="59"/>
      <c r="K114" s="50"/>
      <c r="L114" s="51"/>
      <c r="M114" s="52"/>
      <c r="N114" s="51"/>
      <c r="O114" s="52"/>
      <c r="P114" s="51"/>
      <c r="Q114" s="52"/>
    </row>
    <row r="115" spans="3:17" s="49" customFormat="1" ht="20.149999999999999" customHeight="1">
      <c r="C115" s="62" t="s">
        <v>481</v>
      </c>
      <c r="D115" s="56" t="s">
        <v>482</v>
      </c>
      <c r="E115" s="57">
        <v>4</v>
      </c>
      <c r="F115" s="58" t="s">
        <v>357</v>
      </c>
      <c r="G115" s="59"/>
      <c r="K115" s="50"/>
      <c r="L115" s="51"/>
      <c r="M115" s="52"/>
      <c r="N115" s="51"/>
      <c r="O115" s="52"/>
      <c r="P115" s="51"/>
      <c r="Q115" s="52"/>
    </row>
    <row r="116" spans="3:17" s="49" customFormat="1" ht="20.149999999999999" customHeight="1">
      <c r="C116" s="62" t="s">
        <v>483</v>
      </c>
      <c r="D116" s="56" t="s">
        <v>484</v>
      </c>
      <c r="E116" s="57">
        <v>1</v>
      </c>
      <c r="F116" s="58" t="s">
        <v>357</v>
      </c>
      <c r="G116" s="59"/>
      <c r="K116" s="50"/>
      <c r="L116" s="51"/>
      <c r="M116" s="52"/>
      <c r="N116" s="51"/>
      <c r="O116" s="52"/>
      <c r="P116" s="51"/>
      <c r="Q116" s="52"/>
    </row>
    <row r="117" spans="3:17" s="49" customFormat="1" ht="20.149999999999999" customHeight="1">
      <c r="C117" s="62" t="s">
        <v>485</v>
      </c>
      <c r="D117" s="56" t="s">
        <v>486</v>
      </c>
      <c r="E117" s="57">
        <v>1</v>
      </c>
      <c r="F117" s="58" t="s">
        <v>335</v>
      </c>
      <c r="G117" s="59"/>
      <c r="K117" s="50"/>
      <c r="L117" s="51"/>
      <c r="M117" s="52"/>
      <c r="N117" s="51"/>
      <c r="O117" s="52"/>
      <c r="P117" s="51"/>
      <c r="Q117" s="52"/>
    </row>
    <row r="118" spans="3:17" s="49" customFormat="1" ht="20.149999999999999" customHeight="1">
      <c r="C118" s="62" t="s">
        <v>487</v>
      </c>
      <c r="D118" s="56" t="s">
        <v>488</v>
      </c>
      <c r="E118" s="57">
        <v>1</v>
      </c>
      <c r="F118" s="58" t="s">
        <v>357</v>
      </c>
      <c r="G118" s="59"/>
      <c r="K118" s="50"/>
      <c r="L118" s="51"/>
      <c r="M118" s="52"/>
      <c r="N118" s="51"/>
      <c r="O118" s="52"/>
      <c r="P118" s="51"/>
      <c r="Q118" s="52"/>
    </row>
    <row r="119" spans="3:17" s="49" customFormat="1" ht="20.149999999999999" customHeight="1">
      <c r="C119" s="62" t="s">
        <v>489</v>
      </c>
      <c r="D119" s="56" t="s">
        <v>490</v>
      </c>
      <c r="E119" s="57">
        <v>1</v>
      </c>
      <c r="F119" s="58" t="s">
        <v>357</v>
      </c>
      <c r="G119" s="59"/>
      <c r="K119" s="50"/>
      <c r="L119" s="51"/>
      <c r="M119" s="52"/>
      <c r="N119" s="51"/>
      <c r="O119" s="52"/>
      <c r="P119" s="51"/>
      <c r="Q119" s="52"/>
    </row>
    <row r="120" spans="3:17" s="49" customFormat="1" ht="20.149999999999999" customHeight="1">
      <c r="C120" s="62" t="s">
        <v>491</v>
      </c>
      <c r="D120" s="56" t="s">
        <v>492</v>
      </c>
      <c r="E120" s="57">
        <v>1</v>
      </c>
      <c r="F120" s="58" t="s">
        <v>380</v>
      </c>
      <c r="G120" s="59"/>
      <c r="K120" s="50"/>
      <c r="L120" s="51"/>
      <c r="M120" s="52"/>
      <c r="N120" s="51"/>
      <c r="O120" s="52"/>
      <c r="P120" s="51"/>
      <c r="Q120" s="52"/>
    </row>
    <row r="121" spans="3:17" s="49" customFormat="1" ht="20.149999999999999" customHeight="1">
      <c r="C121" s="62" t="s">
        <v>493</v>
      </c>
      <c r="D121" s="56" t="s">
        <v>494</v>
      </c>
      <c r="E121" s="57">
        <v>2</v>
      </c>
      <c r="F121" s="58" t="s">
        <v>335</v>
      </c>
      <c r="G121" s="59"/>
      <c r="K121" s="50"/>
      <c r="L121" s="51"/>
      <c r="M121" s="52"/>
      <c r="N121" s="51"/>
      <c r="O121" s="52"/>
      <c r="P121" s="51"/>
      <c r="Q121" s="52"/>
    </row>
    <row r="122" spans="3:17" s="49" customFormat="1" ht="20.149999999999999" customHeight="1">
      <c r="C122" s="62" t="s">
        <v>495</v>
      </c>
      <c r="D122" s="56" t="s">
        <v>496</v>
      </c>
      <c r="E122" s="57">
        <v>1</v>
      </c>
      <c r="F122" s="58" t="s">
        <v>335</v>
      </c>
      <c r="G122" s="59"/>
      <c r="K122" s="50"/>
      <c r="L122" s="51"/>
      <c r="M122" s="52"/>
      <c r="N122" s="51"/>
      <c r="O122" s="52"/>
      <c r="P122" s="51"/>
      <c r="Q122" s="52"/>
    </row>
    <row r="123" spans="3:17" s="49" customFormat="1" ht="20.149999999999999" customHeight="1">
      <c r="C123" s="62" t="s">
        <v>497</v>
      </c>
      <c r="D123" s="56" t="s">
        <v>498</v>
      </c>
      <c r="E123" s="57">
        <v>1</v>
      </c>
      <c r="F123" s="58" t="s">
        <v>335</v>
      </c>
      <c r="G123" s="59"/>
      <c r="K123" s="50"/>
      <c r="L123" s="51"/>
      <c r="M123" s="52"/>
      <c r="N123" s="51"/>
      <c r="O123" s="52"/>
      <c r="P123" s="51"/>
      <c r="Q123" s="52"/>
    </row>
    <row r="124" spans="3:17" s="49" customFormat="1" ht="20.149999999999999" customHeight="1">
      <c r="C124" s="62" t="s">
        <v>499</v>
      </c>
      <c r="D124" s="56" t="s">
        <v>500</v>
      </c>
      <c r="E124" s="57">
        <v>1</v>
      </c>
      <c r="F124" s="58" t="s">
        <v>335</v>
      </c>
      <c r="G124" s="59"/>
      <c r="K124" s="50"/>
      <c r="L124" s="51"/>
      <c r="M124" s="52"/>
      <c r="N124" s="51"/>
      <c r="O124" s="52"/>
      <c r="P124" s="51"/>
      <c r="Q124" s="52"/>
    </row>
    <row r="125" spans="3:17" s="49" customFormat="1" ht="20.149999999999999" customHeight="1">
      <c r="C125" s="62" t="s">
        <v>501</v>
      </c>
      <c r="D125" s="56" t="s">
        <v>502</v>
      </c>
      <c r="E125" s="57">
        <v>1</v>
      </c>
      <c r="F125" s="58" t="s">
        <v>335</v>
      </c>
      <c r="G125" s="59"/>
      <c r="K125" s="50"/>
      <c r="L125" s="51"/>
      <c r="M125" s="52"/>
      <c r="N125" s="51"/>
      <c r="O125" s="52"/>
      <c r="P125" s="51"/>
      <c r="Q125" s="52"/>
    </row>
    <row r="126" spans="3:17" s="49" customFormat="1" ht="20.149999999999999" customHeight="1">
      <c r="C126" s="62" t="s">
        <v>503</v>
      </c>
      <c r="D126" s="56" t="s">
        <v>284</v>
      </c>
      <c r="E126" s="57">
        <v>1</v>
      </c>
      <c r="F126" s="58" t="s">
        <v>335</v>
      </c>
      <c r="G126" s="59"/>
      <c r="K126" s="50"/>
      <c r="L126" s="51"/>
      <c r="M126" s="52"/>
      <c r="N126" s="51"/>
      <c r="O126" s="52"/>
      <c r="P126" s="51"/>
      <c r="Q126" s="52"/>
    </row>
    <row r="127" spans="3:17" s="49" customFormat="1" ht="20.149999999999999" customHeight="1">
      <c r="C127" s="62" t="s">
        <v>504</v>
      </c>
      <c r="D127" s="56" t="s">
        <v>505</v>
      </c>
      <c r="E127" s="57">
        <v>1</v>
      </c>
      <c r="F127" s="58" t="s">
        <v>335</v>
      </c>
      <c r="G127" s="59"/>
      <c r="K127" s="50"/>
      <c r="L127" s="51"/>
      <c r="M127" s="52"/>
      <c r="N127" s="51"/>
      <c r="O127" s="52"/>
      <c r="P127" s="51"/>
      <c r="Q127" s="52"/>
    </row>
    <row r="128" spans="3:17" s="49" customFormat="1" ht="20.149999999999999" customHeight="1">
      <c r="C128" s="62" t="s">
        <v>506</v>
      </c>
      <c r="D128" s="56" t="s">
        <v>507</v>
      </c>
      <c r="E128" s="57">
        <v>1</v>
      </c>
      <c r="F128" s="58" t="s">
        <v>335</v>
      </c>
      <c r="G128" s="59"/>
      <c r="K128" s="50"/>
      <c r="L128" s="51"/>
      <c r="M128" s="52"/>
      <c r="N128" s="51"/>
      <c r="O128" s="52"/>
      <c r="P128" s="51"/>
      <c r="Q128" s="52"/>
    </row>
    <row r="129" spans="3:17" s="49" customFormat="1" ht="20.149999999999999" customHeight="1">
      <c r="C129" s="62"/>
      <c r="D129" s="56"/>
      <c r="E129" s="57"/>
      <c r="F129" s="58"/>
      <c r="G129" s="59"/>
      <c r="K129" s="50"/>
      <c r="L129" s="51"/>
      <c r="M129" s="52"/>
      <c r="N129" s="51"/>
      <c r="O129" s="52"/>
      <c r="P129" s="51"/>
      <c r="Q129" s="52"/>
    </row>
    <row r="130" spans="3:17" s="49" customFormat="1" ht="20.149999999999999" customHeight="1">
      <c r="C130" s="55"/>
      <c r="D130" s="56"/>
      <c r="E130" s="57"/>
      <c r="F130" s="58"/>
      <c r="G130" s="59"/>
      <c r="K130" s="50"/>
      <c r="L130" s="51"/>
      <c r="M130" s="52"/>
      <c r="N130" s="51"/>
      <c r="O130" s="52"/>
      <c r="P130" s="51"/>
      <c r="Q130" s="52"/>
    </row>
    <row r="131" spans="3:17" s="49" customFormat="1" ht="20.149999999999999" customHeight="1">
      <c r="C131" s="60" t="s">
        <v>508</v>
      </c>
      <c r="D131" s="61" t="s">
        <v>509</v>
      </c>
      <c r="E131" s="57"/>
      <c r="F131" s="58"/>
      <c r="G131" s="59"/>
      <c r="K131" s="50"/>
      <c r="L131" s="51"/>
      <c r="M131" s="52"/>
      <c r="N131" s="51"/>
      <c r="O131" s="52"/>
      <c r="P131" s="51"/>
      <c r="Q131" s="52"/>
    </row>
    <row r="132" spans="3:17" s="49" customFormat="1" ht="20.149999999999999" customHeight="1">
      <c r="C132" s="62" t="s">
        <v>330</v>
      </c>
      <c r="D132" s="56" t="s">
        <v>510</v>
      </c>
      <c r="E132" s="57">
        <v>2</v>
      </c>
      <c r="F132" s="58" t="s">
        <v>335</v>
      </c>
      <c r="G132" s="59"/>
      <c r="K132" s="50"/>
      <c r="L132" s="51"/>
      <c r="M132" s="52"/>
      <c r="N132" s="51"/>
      <c r="O132" s="52"/>
      <c r="P132" s="51"/>
      <c r="Q132" s="52"/>
    </row>
    <row r="133" spans="3:17" s="49" customFormat="1" ht="20.149999999999999" customHeight="1">
      <c r="C133" s="62" t="s">
        <v>333</v>
      </c>
      <c r="D133" s="56" t="s">
        <v>511</v>
      </c>
      <c r="E133" s="57">
        <v>1</v>
      </c>
      <c r="F133" s="58" t="s">
        <v>357</v>
      </c>
      <c r="G133" s="59"/>
      <c r="K133" s="50"/>
      <c r="L133" s="51"/>
      <c r="M133" s="52"/>
      <c r="N133" s="51"/>
      <c r="O133" s="52"/>
      <c r="P133" s="51"/>
      <c r="Q133" s="52"/>
    </row>
    <row r="134" spans="3:17" s="49" customFormat="1" ht="20.149999999999999" customHeight="1">
      <c r="C134" s="62"/>
      <c r="D134" s="56"/>
      <c r="E134" s="57"/>
      <c r="F134" s="58"/>
      <c r="G134" s="59"/>
      <c r="K134" s="50"/>
      <c r="L134" s="51"/>
      <c r="M134" s="52"/>
      <c r="N134" s="51"/>
      <c r="O134" s="52"/>
      <c r="P134" s="51"/>
      <c r="Q134" s="52"/>
    </row>
    <row r="135" spans="3:17" s="49" customFormat="1" ht="20.149999999999999" customHeight="1">
      <c r="C135" s="55"/>
      <c r="D135" s="56"/>
      <c r="E135" s="57"/>
      <c r="F135" s="58"/>
      <c r="G135" s="59"/>
      <c r="K135" s="50"/>
      <c r="L135" s="51"/>
      <c r="M135" s="52"/>
      <c r="N135" s="51"/>
      <c r="O135" s="52"/>
      <c r="P135" s="51"/>
      <c r="Q135" s="52"/>
    </row>
    <row r="136" spans="3:17" s="49" customFormat="1" ht="20.149999999999999" customHeight="1">
      <c r="C136" s="60" t="s">
        <v>512</v>
      </c>
      <c r="D136" s="61" t="s">
        <v>513</v>
      </c>
      <c r="E136" s="57"/>
      <c r="F136" s="58"/>
      <c r="G136" s="59"/>
      <c r="K136" s="50"/>
      <c r="L136" s="51"/>
      <c r="M136" s="52"/>
      <c r="N136" s="51"/>
      <c r="O136" s="52"/>
      <c r="P136" s="51"/>
      <c r="Q136" s="52"/>
    </row>
    <row r="137" spans="3:17" s="49" customFormat="1" ht="20.149999999999999" customHeight="1">
      <c r="C137" s="62" t="s">
        <v>330</v>
      </c>
      <c r="D137" s="56" t="s">
        <v>514</v>
      </c>
      <c r="E137" s="57">
        <v>1</v>
      </c>
      <c r="F137" s="58" t="s">
        <v>335</v>
      </c>
      <c r="G137" s="59"/>
      <c r="H137" s="64"/>
      <c r="K137" s="50"/>
      <c r="L137" s="51"/>
      <c r="M137" s="52"/>
      <c r="N137" s="51"/>
      <c r="O137" s="52"/>
      <c r="P137" s="51"/>
      <c r="Q137" s="52"/>
    </row>
    <row r="138" spans="3:17" s="49" customFormat="1" ht="20.149999999999999" customHeight="1">
      <c r="C138" s="62" t="s">
        <v>333</v>
      </c>
      <c r="D138" s="56" t="s">
        <v>510</v>
      </c>
      <c r="E138" s="57">
        <v>1</v>
      </c>
      <c r="F138" s="58" t="s">
        <v>335</v>
      </c>
      <c r="G138" s="59"/>
      <c r="K138" s="50"/>
      <c r="L138" s="51"/>
      <c r="M138" s="52"/>
      <c r="N138" s="51"/>
      <c r="O138" s="52"/>
      <c r="P138" s="51"/>
      <c r="Q138" s="52"/>
    </row>
    <row r="139" spans="3:17" s="49" customFormat="1" ht="20.149999999999999" customHeight="1">
      <c r="C139" s="62" t="s">
        <v>336</v>
      </c>
      <c r="D139" s="56" t="s">
        <v>511</v>
      </c>
      <c r="E139" s="57">
        <v>2</v>
      </c>
      <c r="F139" s="58" t="s">
        <v>357</v>
      </c>
      <c r="G139" s="59"/>
      <c r="K139" s="50"/>
      <c r="L139" s="51"/>
      <c r="M139" s="52"/>
      <c r="N139" s="51"/>
      <c r="O139" s="52"/>
      <c r="P139" s="51"/>
      <c r="Q139" s="52"/>
    </row>
    <row r="140" spans="3:17" s="49" customFormat="1" ht="20.149999999999999" customHeight="1">
      <c r="C140" s="62" t="s">
        <v>339</v>
      </c>
      <c r="D140" s="56" t="s">
        <v>515</v>
      </c>
      <c r="E140" s="57">
        <v>1</v>
      </c>
      <c r="F140" s="58" t="s">
        <v>335</v>
      </c>
      <c r="G140" s="59"/>
      <c r="K140" s="50"/>
      <c r="L140" s="51"/>
      <c r="M140" s="52"/>
      <c r="N140" s="51"/>
      <c r="O140" s="52"/>
      <c r="P140" s="51"/>
      <c r="Q140" s="52"/>
    </row>
    <row r="141" spans="3:17" s="49" customFormat="1" ht="20.149999999999999" customHeight="1">
      <c r="C141" s="62" t="s">
        <v>341</v>
      </c>
      <c r="D141" s="56" t="s">
        <v>314</v>
      </c>
      <c r="E141" s="57">
        <v>1</v>
      </c>
      <c r="F141" s="58" t="s">
        <v>335</v>
      </c>
      <c r="G141" s="59"/>
      <c r="K141" s="50"/>
      <c r="L141" s="51"/>
      <c r="M141" s="52"/>
      <c r="N141" s="51"/>
      <c r="O141" s="52"/>
      <c r="P141" s="51"/>
      <c r="Q141" s="52"/>
    </row>
    <row r="142" spans="3:17" s="49" customFormat="1" ht="20.149999999999999" customHeight="1">
      <c r="C142" s="62" t="s">
        <v>343</v>
      </c>
      <c r="D142" s="56" t="s">
        <v>315</v>
      </c>
      <c r="E142" s="57">
        <v>1</v>
      </c>
      <c r="F142" s="58" t="s">
        <v>357</v>
      </c>
      <c r="G142" s="59"/>
      <c r="K142" s="50"/>
      <c r="L142" s="51"/>
      <c r="M142" s="52"/>
      <c r="N142" s="51"/>
      <c r="O142" s="52"/>
      <c r="P142" s="51"/>
      <c r="Q142" s="52"/>
    </row>
    <row r="143" spans="3:17" s="49" customFormat="1" ht="20.149999999999999" customHeight="1">
      <c r="C143" s="62" t="s">
        <v>345</v>
      </c>
      <c r="D143" s="56" t="s">
        <v>516</v>
      </c>
      <c r="E143" s="57">
        <v>1</v>
      </c>
      <c r="F143" s="58" t="s">
        <v>335</v>
      </c>
      <c r="G143" s="59"/>
      <c r="K143" s="50"/>
      <c r="L143" s="51"/>
      <c r="M143" s="52"/>
      <c r="N143" s="51"/>
      <c r="O143" s="52"/>
      <c r="P143" s="51"/>
      <c r="Q143" s="52"/>
    </row>
    <row r="144" spans="3:17" s="49" customFormat="1" ht="20.149999999999999" customHeight="1">
      <c r="C144" s="62" t="s">
        <v>347</v>
      </c>
      <c r="D144" s="56" t="s">
        <v>517</v>
      </c>
      <c r="E144" s="57">
        <v>1</v>
      </c>
      <c r="F144" s="58" t="s">
        <v>335</v>
      </c>
      <c r="G144" s="59"/>
      <c r="K144" s="50"/>
      <c r="L144" s="51"/>
      <c r="M144" s="52"/>
      <c r="N144" s="51"/>
      <c r="O144" s="52"/>
      <c r="P144" s="51"/>
      <c r="Q144" s="52"/>
    </row>
    <row r="145" spans="3:17" s="49" customFormat="1" ht="20.149999999999999" customHeight="1">
      <c r="C145" s="62" t="s">
        <v>350</v>
      </c>
      <c r="D145" s="56" t="s">
        <v>518</v>
      </c>
      <c r="E145" s="57">
        <v>6</v>
      </c>
      <c r="F145" s="58" t="s">
        <v>519</v>
      </c>
      <c r="G145" s="59"/>
      <c r="K145" s="50"/>
      <c r="L145" s="51"/>
      <c r="M145" s="52"/>
      <c r="N145" s="51"/>
      <c r="O145" s="52"/>
      <c r="P145" s="51"/>
      <c r="Q145" s="52"/>
    </row>
    <row r="146" spans="3:17" s="49" customFormat="1" ht="20.149999999999999" customHeight="1">
      <c r="C146" s="55"/>
      <c r="D146" s="56"/>
      <c r="E146" s="57"/>
      <c r="F146" s="58"/>
      <c r="G146" s="59"/>
      <c r="K146" s="50"/>
      <c r="L146" s="51"/>
      <c r="M146" s="52"/>
      <c r="N146" s="51"/>
      <c r="O146" s="52"/>
      <c r="P146" s="51"/>
      <c r="Q146" s="52"/>
    </row>
    <row r="147" spans="3:17" s="49" customFormat="1" ht="20.149999999999999" customHeight="1">
      <c r="C147" s="55"/>
      <c r="D147" s="56"/>
      <c r="E147" s="57"/>
      <c r="F147" s="58"/>
      <c r="G147" s="59"/>
      <c r="K147" s="50"/>
      <c r="L147" s="51"/>
      <c r="M147" s="52"/>
      <c r="N147" s="51"/>
      <c r="O147" s="52"/>
      <c r="P147" s="51"/>
      <c r="Q147" s="52"/>
    </row>
    <row r="148" spans="3:17" s="49" customFormat="1" ht="20.149999999999999" customHeight="1">
      <c r="C148" s="60" t="s">
        <v>520</v>
      </c>
      <c r="D148" s="61" t="s">
        <v>521</v>
      </c>
      <c r="E148" s="57"/>
      <c r="F148" s="58"/>
      <c r="G148" s="59"/>
      <c r="K148" s="50"/>
      <c r="L148" s="51"/>
      <c r="M148" s="52"/>
      <c r="N148" s="51"/>
      <c r="O148" s="52"/>
      <c r="P148" s="51"/>
      <c r="Q148" s="52"/>
    </row>
    <row r="149" spans="3:17" s="49" customFormat="1" ht="20.149999999999999" customHeight="1">
      <c r="C149" s="62" t="s">
        <v>330</v>
      </c>
      <c r="D149" s="56" t="s">
        <v>522</v>
      </c>
      <c r="E149" s="57">
        <v>1</v>
      </c>
      <c r="F149" s="58" t="s">
        <v>335</v>
      </c>
      <c r="G149" s="59"/>
      <c r="H149" s="64"/>
      <c r="K149" s="50"/>
      <c r="L149" s="51"/>
      <c r="M149" s="52"/>
      <c r="N149" s="51"/>
      <c r="O149" s="52"/>
      <c r="P149" s="51"/>
      <c r="Q149" s="52"/>
    </row>
    <row r="150" spans="3:17" s="49" customFormat="1" ht="20.149999999999999" customHeight="1">
      <c r="C150" s="62" t="s">
        <v>333</v>
      </c>
      <c r="D150" s="56" t="s">
        <v>523</v>
      </c>
      <c r="E150" s="57">
        <v>1</v>
      </c>
      <c r="F150" s="58" t="s">
        <v>335</v>
      </c>
      <c r="G150" s="59"/>
      <c r="K150" s="50"/>
      <c r="L150" s="51"/>
      <c r="M150" s="52"/>
      <c r="N150" s="51"/>
      <c r="O150" s="52"/>
      <c r="P150" s="51"/>
      <c r="Q150" s="52"/>
    </row>
    <row r="151" spans="3:17" s="49" customFormat="1" ht="20.149999999999999" customHeight="1">
      <c r="C151" s="62" t="s">
        <v>336</v>
      </c>
      <c r="D151" s="56" t="s">
        <v>524</v>
      </c>
      <c r="E151" s="57">
        <v>1</v>
      </c>
      <c r="F151" s="58" t="s">
        <v>335</v>
      </c>
      <c r="G151" s="59"/>
      <c r="K151" s="50"/>
      <c r="L151" s="51"/>
      <c r="M151" s="52"/>
      <c r="N151" s="51"/>
      <c r="O151" s="52"/>
      <c r="P151" s="51"/>
      <c r="Q151" s="52"/>
    </row>
    <row r="152" spans="3:17" s="49" customFormat="1" ht="20.149999999999999" customHeight="1">
      <c r="C152" s="62" t="s">
        <v>339</v>
      </c>
      <c r="D152" s="56" t="s">
        <v>525</v>
      </c>
      <c r="E152" s="57">
        <v>1</v>
      </c>
      <c r="F152" s="58" t="s">
        <v>335</v>
      </c>
      <c r="G152" s="59"/>
      <c r="K152" s="50"/>
      <c r="L152" s="51"/>
      <c r="M152" s="52"/>
      <c r="N152" s="51"/>
      <c r="O152" s="52"/>
      <c r="P152" s="51"/>
      <c r="Q152" s="52"/>
    </row>
    <row r="153" spans="3:17" s="49" customFormat="1" ht="20.149999999999999" customHeight="1">
      <c r="C153" s="62" t="s">
        <v>341</v>
      </c>
      <c r="D153" s="56" t="s">
        <v>526</v>
      </c>
      <c r="E153" s="57">
        <v>2</v>
      </c>
      <c r="F153" s="58" t="s">
        <v>335</v>
      </c>
      <c r="G153" s="59"/>
      <c r="K153" s="50"/>
      <c r="L153" s="51"/>
      <c r="M153" s="52"/>
      <c r="N153" s="51"/>
      <c r="O153" s="52"/>
      <c r="P153" s="51"/>
      <c r="Q153" s="52"/>
    </row>
    <row r="154" spans="3:17" s="49" customFormat="1" ht="20.149999999999999" customHeight="1">
      <c r="C154" s="62" t="s">
        <v>343</v>
      </c>
      <c r="D154" s="56" t="s">
        <v>527</v>
      </c>
      <c r="E154" s="57">
        <v>1</v>
      </c>
      <c r="F154" s="58" t="s">
        <v>335</v>
      </c>
      <c r="G154" s="59"/>
      <c r="K154" s="50"/>
      <c r="L154" s="51"/>
      <c r="M154" s="52"/>
      <c r="N154" s="51"/>
      <c r="O154" s="52"/>
      <c r="P154" s="51"/>
      <c r="Q154" s="52"/>
    </row>
    <row r="155" spans="3:17" s="49" customFormat="1" ht="20.149999999999999" customHeight="1">
      <c r="C155" s="62" t="s">
        <v>345</v>
      </c>
      <c r="D155" s="56" t="s">
        <v>528</v>
      </c>
      <c r="E155" s="57">
        <v>1</v>
      </c>
      <c r="F155" s="58" t="s">
        <v>335</v>
      </c>
      <c r="G155" s="59"/>
      <c r="K155" s="50"/>
      <c r="L155" s="51"/>
      <c r="M155" s="52"/>
      <c r="N155" s="51"/>
      <c r="O155" s="52"/>
      <c r="P155" s="51"/>
      <c r="Q155" s="52"/>
    </row>
    <row r="156" spans="3:17" s="49" customFormat="1" ht="20.149999999999999" customHeight="1">
      <c r="C156" s="62" t="s">
        <v>347</v>
      </c>
      <c r="D156" s="56" t="s">
        <v>529</v>
      </c>
      <c r="E156" s="57">
        <v>2</v>
      </c>
      <c r="F156" s="58" t="s">
        <v>335</v>
      </c>
      <c r="G156" s="59"/>
      <c r="K156" s="50"/>
      <c r="L156" s="51"/>
      <c r="M156" s="52"/>
      <c r="N156" s="51"/>
      <c r="O156" s="52"/>
      <c r="P156" s="51"/>
      <c r="Q156" s="52"/>
    </row>
    <row r="157" spans="3:17" s="49" customFormat="1" ht="20.149999999999999" customHeight="1">
      <c r="C157" s="55"/>
      <c r="D157" s="56"/>
      <c r="E157" s="57"/>
      <c r="F157" s="58"/>
      <c r="G157" s="59"/>
      <c r="K157" s="50"/>
      <c r="L157" s="51"/>
      <c r="M157" s="52"/>
      <c r="N157" s="51"/>
      <c r="O157" s="52"/>
      <c r="P157" s="51"/>
      <c r="Q157" s="52"/>
    </row>
    <row r="158" spans="3:17" s="49" customFormat="1" ht="20.149999999999999" customHeight="1">
      <c r="C158" s="55"/>
      <c r="D158" s="56"/>
      <c r="E158" s="65"/>
      <c r="F158" s="66"/>
      <c r="G158" s="59"/>
      <c r="K158" s="50"/>
      <c r="L158" s="51"/>
      <c r="M158" s="52"/>
      <c r="N158" s="51"/>
      <c r="O158" s="52"/>
      <c r="P158" s="51"/>
      <c r="Q158" s="52"/>
    </row>
    <row r="159" spans="3:17" s="49" customFormat="1" ht="20.149999999999999" customHeight="1">
      <c r="C159" s="60" t="s">
        <v>530</v>
      </c>
      <c r="D159" s="61" t="s">
        <v>531</v>
      </c>
      <c r="E159" s="65"/>
      <c r="F159" s="66"/>
      <c r="G159" s="59"/>
      <c r="K159" s="50"/>
      <c r="L159" s="51"/>
      <c r="M159" s="52"/>
      <c r="N159" s="51"/>
      <c r="O159" s="52"/>
      <c r="P159" s="51"/>
      <c r="Q159" s="52"/>
    </row>
    <row r="160" spans="3:17" s="49" customFormat="1" ht="20.149999999999999" customHeight="1">
      <c r="C160" s="55">
        <v>1</v>
      </c>
      <c r="D160" s="56" t="s">
        <v>532</v>
      </c>
      <c r="E160" s="57">
        <v>1</v>
      </c>
      <c r="F160" s="58" t="s">
        <v>533</v>
      </c>
      <c r="G160" s="59"/>
      <c r="H160" s="64"/>
      <c r="K160" s="50"/>
      <c r="L160" s="51"/>
      <c r="M160" s="52"/>
      <c r="N160" s="51"/>
      <c r="O160" s="52"/>
      <c r="P160" s="51"/>
      <c r="Q160" s="52"/>
    </row>
    <row r="161" spans="3:17" s="49" customFormat="1" ht="20.149999999999999" customHeight="1">
      <c r="C161" s="55">
        <v>2</v>
      </c>
      <c r="D161" s="56" t="s">
        <v>534</v>
      </c>
      <c r="E161" s="57">
        <v>3</v>
      </c>
      <c r="F161" s="58" t="s">
        <v>533</v>
      </c>
      <c r="G161" s="59"/>
      <c r="K161" s="50"/>
      <c r="L161" s="51"/>
      <c r="M161" s="52"/>
      <c r="N161" s="51"/>
      <c r="O161" s="52"/>
      <c r="P161" s="51"/>
      <c r="Q161" s="52"/>
    </row>
    <row r="162" spans="3:17" s="49" customFormat="1" ht="20.149999999999999" customHeight="1">
      <c r="C162" s="55">
        <v>3</v>
      </c>
      <c r="D162" s="56" t="s">
        <v>535</v>
      </c>
      <c r="E162" s="57">
        <v>4</v>
      </c>
      <c r="F162" s="58" t="s">
        <v>533</v>
      </c>
      <c r="G162" s="59"/>
      <c r="K162" s="50"/>
      <c r="L162" s="51"/>
      <c r="M162" s="52"/>
      <c r="N162" s="51"/>
      <c r="O162" s="52"/>
      <c r="P162" s="51"/>
      <c r="Q162" s="52"/>
    </row>
    <row r="163" spans="3:17" s="49" customFormat="1" ht="20.149999999999999" customHeight="1">
      <c r="C163" s="55">
        <v>4</v>
      </c>
      <c r="D163" s="56" t="s">
        <v>536</v>
      </c>
      <c r="E163" s="57">
        <v>17</v>
      </c>
      <c r="F163" s="58" t="s">
        <v>533</v>
      </c>
      <c r="G163" s="59"/>
      <c r="K163" s="50"/>
      <c r="L163" s="51"/>
      <c r="M163" s="52"/>
      <c r="N163" s="51"/>
      <c r="O163" s="52"/>
      <c r="P163" s="51"/>
      <c r="Q163" s="52"/>
    </row>
    <row r="164" spans="3:17" s="49" customFormat="1" ht="20.149999999999999" customHeight="1">
      <c r="C164" s="55">
        <v>5</v>
      </c>
      <c r="D164" s="56" t="s">
        <v>537</v>
      </c>
      <c r="E164" s="57">
        <v>1</v>
      </c>
      <c r="F164" s="58" t="s">
        <v>533</v>
      </c>
      <c r="G164" s="59"/>
      <c r="K164" s="50"/>
      <c r="L164" s="51"/>
      <c r="M164" s="52"/>
      <c r="N164" s="51"/>
      <c r="O164" s="52"/>
      <c r="P164" s="51"/>
      <c r="Q164" s="52"/>
    </row>
    <row r="165" spans="3:17" s="49" customFormat="1" ht="20.149999999999999" customHeight="1">
      <c r="C165" s="55"/>
      <c r="D165" s="67" t="s">
        <v>538</v>
      </c>
      <c r="E165" s="57">
        <f>SUM(E160:E164)</f>
        <v>26</v>
      </c>
      <c r="F165" s="58" t="s">
        <v>533</v>
      </c>
      <c r="G165" s="59"/>
      <c r="K165" s="50"/>
      <c r="L165" s="51"/>
      <c r="M165" s="52"/>
      <c r="N165" s="51"/>
      <c r="O165" s="52"/>
      <c r="P165" s="51"/>
      <c r="Q165" s="52"/>
    </row>
    <row r="166" spans="3:17" s="49" customFormat="1" ht="20.149999999999999" customHeight="1">
      <c r="C166" s="55"/>
      <c r="D166" s="67"/>
      <c r="E166" s="57"/>
      <c r="F166" s="58"/>
      <c r="G166" s="59"/>
      <c r="K166" s="50"/>
      <c r="L166" s="51"/>
      <c r="M166" s="52"/>
      <c r="N166" s="51"/>
      <c r="O166" s="52"/>
      <c r="P166" s="51"/>
      <c r="Q166" s="52"/>
    </row>
    <row r="167" spans="3:17" s="49" customFormat="1" ht="20.149999999999999" customHeight="1">
      <c r="C167" s="55"/>
      <c r="D167" s="56"/>
      <c r="E167" s="57"/>
      <c r="F167" s="58"/>
      <c r="G167" s="59"/>
      <c r="K167" s="50"/>
      <c r="L167" s="51"/>
      <c r="M167" s="52"/>
      <c r="N167" s="51"/>
      <c r="O167" s="52"/>
      <c r="P167" s="51"/>
      <c r="Q167" s="52"/>
    </row>
    <row r="168" spans="3:17" s="49" customFormat="1" ht="20.149999999999999" customHeight="1">
      <c r="C168" s="68"/>
      <c r="D168" s="69"/>
      <c r="E168" s="70"/>
      <c r="F168" s="71"/>
      <c r="G168" s="72"/>
      <c r="K168" s="50"/>
      <c r="L168" s="51"/>
      <c r="M168" s="52"/>
      <c r="N168" s="51"/>
      <c r="O168" s="52"/>
      <c r="P168" s="51"/>
      <c r="Q168" s="52"/>
    </row>
    <row r="169" spans="3:17" s="49" customFormat="1" ht="20.149999999999999" customHeight="1">
      <c r="C169" s="73"/>
      <c r="D169" s="74"/>
      <c r="E169" s="75"/>
      <c r="F169" s="76"/>
      <c r="G169" s="77"/>
      <c r="K169" s="50"/>
      <c r="L169" s="51"/>
      <c r="M169" s="52"/>
      <c r="N169" s="51"/>
      <c r="O169" s="52"/>
      <c r="P169" s="51"/>
      <c r="Q169" s="52"/>
    </row>
    <row r="170" spans="3:17" s="49" customFormat="1">
      <c r="C170" s="78"/>
      <c r="D170" s="79"/>
      <c r="E170" s="80"/>
      <c r="F170" s="81"/>
      <c r="G170" s="82"/>
      <c r="K170" s="50"/>
      <c r="L170" s="51"/>
      <c r="M170" s="52"/>
      <c r="N170" s="51"/>
      <c r="O170" s="52"/>
      <c r="P170" s="51"/>
      <c r="Q170" s="52"/>
    </row>
    <row r="171" spans="3:17">
      <c r="G171" s="84"/>
    </row>
    <row r="172" spans="3:17">
      <c r="G172" s="84"/>
    </row>
    <row r="173" spans="3:17">
      <c r="G173" s="84"/>
    </row>
    <row r="174" spans="3:17">
      <c r="G174" s="84"/>
    </row>
    <row r="175" spans="3:17">
      <c r="G175" s="84"/>
    </row>
    <row r="176" spans="3:17">
      <c r="G176" s="84"/>
    </row>
    <row r="177" spans="7:7">
      <c r="G177" s="84"/>
    </row>
    <row r="178" spans="7:7">
      <c r="G178" s="84"/>
    </row>
    <row r="179" spans="7:7">
      <c r="G179" s="84"/>
    </row>
    <row r="180" spans="7:7">
      <c r="G180" s="84"/>
    </row>
    <row r="181" spans="7:7">
      <c r="G181" s="84"/>
    </row>
    <row r="182" spans="7:7">
      <c r="G182" s="84"/>
    </row>
    <row r="183" spans="7:7">
      <c r="G183" s="84"/>
    </row>
    <row r="184" spans="7:7">
      <c r="G184" s="84"/>
    </row>
    <row r="185" spans="7:7">
      <c r="G185" s="84"/>
    </row>
    <row r="186" spans="7:7">
      <c r="G186" s="84"/>
    </row>
    <row r="187" spans="7:7">
      <c r="G187" s="84"/>
    </row>
    <row r="188" spans="7:7">
      <c r="G188" s="84"/>
    </row>
    <row r="189" spans="7:7">
      <c r="G189" s="84"/>
    </row>
    <row r="190" spans="7:7">
      <c r="G190" s="84"/>
    </row>
    <row r="191" spans="7:7">
      <c r="G191" s="84"/>
    </row>
    <row r="192" spans="7:7">
      <c r="G192" s="84"/>
    </row>
    <row r="193" spans="7:7">
      <c r="G193" s="84"/>
    </row>
    <row r="194" spans="7:7">
      <c r="G194" s="84"/>
    </row>
    <row r="195" spans="7:7">
      <c r="G195" s="84"/>
    </row>
    <row r="196" spans="7:7">
      <c r="G196" s="84"/>
    </row>
    <row r="197" spans="7:7">
      <c r="G197" s="84"/>
    </row>
    <row r="198" spans="7:7">
      <c r="G198" s="84"/>
    </row>
    <row r="199" spans="7:7">
      <c r="G199" s="84"/>
    </row>
    <row r="200" spans="7:7">
      <c r="G200" s="84"/>
    </row>
    <row r="201" spans="7:7">
      <c r="G201" s="84"/>
    </row>
    <row r="202" spans="7:7">
      <c r="G202" s="84"/>
    </row>
    <row r="203" spans="7:7">
      <c r="G203" s="84"/>
    </row>
    <row r="204" spans="7:7">
      <c r="G204" s="84"/>
    </row>
    <row r="205" spans="7:7">
      <c r="G205" s="84"/>
    </row>
    <row r="206" spans="7:7">
      <c r="G206" s="84"/>
    </row>
    <row r="207" spans="7:7">
      <c r="G207" s="84"/>
    </row>
    <row r="208" spans="7:7">
      <c r="G208" s="84"/>
    </row>
    <row r="209" spans="7:7">
      <c r="G209" s="84"/>
    </row>
    <row r="210" spans="7:7">
      <c r="G210" s="84"/>
    </row>
    <row r="211" spans="7:7">
      <c r="G211" s="84"/>
    </row>
    <row r="212" spans="7:7">
      <c r="G212" s="84"/>
    </row>
    <row r="213" spans="7:7">
      <c r="G213" s="84"/>
    </row>
    <row r="214" spans="7:7">
      <c r="G214" s="84"/>
    </row>
    <row r="215" spans="7:7">
      <c r="G215" s="84"/>
    </row>
    <row r="216" spans="7:7">
      <c r="G216" s="84"/>
    </row>
    <row r="217" spans="7:7">
      <c r="G217" s="84"/>
    </row>
  </sheetData>
  <sheetProtection selectLockedCells="1" selectUnlockedCells="1"/>
  <mergeCells count="4">
    <mergeCell ref="C4:C5"/>
    <mergeCell ref="D4:D5"/>
    <mergeCell ref="E4:F5"/>
    <mergeCell ref="G4:G5"/>
  </mergeCells>
  <printOptions horizontalCentered="1"/>
  <pageMargins left="0.25" right="0.25" top="0.75" bottom="0.75" header="0.3" footer="0.3"/>
  <pageSetup paperSize="9" scale="59" fitToHeight="0" orientation="portrait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3C82-1279-48B3-B924-7005BD82B40D}">
  <dimension ref="A1:E61"/>
  <sheetViews>
    <sheetView zoomScale="64" workbookViewId="0">
      <pane ySplit="3" topLeftCell="A4" activePane="bottomLeft" state="frozen"/>
      <selection pane="bottomLeft" activeCell="K22" sqref="K22"/>
    </sheetView>
  </sheetViews>
  <sheetFormatPr defaultColWidth="10" defaultRowHeight="14.5"/>
  <cols>
    <col min="1" max="1" width="6" style="15" customWidth="1"/>
    <col min="2" max="2" width="30" style="15" customWidth="1"/>
    <col min="3" max="4" width="10" style="15" customWidth="1"/>
    <col min="5" max="5" width="24" style="15" customWidth="1"/>
    <col min="6" max="16384" width="10" style="15"/>
  </cols>
  <sheetData>
    <row r="1" spans="1:5" ht="24" customHeight="1">
      <c r="A1" s="147" t="s">
        <v>85</v>
      </c>
      <c r="B1" s="147"/>
      <c r="C1" s="147"/>
      <c r="D1" s="147"/>
      <c r="E1" s="147"/>
    </row>
    <row r="2" spans="1:5">
      <c r="A2" s="15" t="s">
        <v>86</v>
      </c>
      <c r="B2" s="15" t="s">
        <v>87</v>
      </c>
    </row>
    <row r="3" spans="1:5">
      <c r="A3" s="16" t="s">
        <v>88</v>
      </c>
      <c r="B3" s="16" t="s">
        <v>89</v>
      </c>
      <c r="C3" s="16" t="s">
        <v>90</v>
      </c>
      <c r="D3" s="16" t="s">
        <v>91</v>
      </c>
      <c r="E3" s="16" t="s">
        <v>92</v>
      </c>
    </row>
    <row r="4" spans="1:5">
      <c r="A4" s="17">
        <v>1</v>
      </c>
      <c r="B4" s="18" t="s">
        <v>93</v>
      </c>
      <c r="C4" s="17">
        <v>2</v>
      </c>
      <c r="D4" s="17" t="s">
        <v>94</v>
      </c>
      <c r="E4" s="18" t="s">
        <v>95</v>
      </c>
    </row>
    <row r="5" spans="1:5">
      <c r="A5" s="17">
        <v>2</v>
      </c>
      <c r="B5" s="18" t="s">
        <v>96</v>
      </c>
      <c r="C5" s="17">
        <v>2</v>
      </c>
      <c r="D5" s="17" t="s">
        <v>94</v>
      </c>
      <c r="E5" s="18" t="s">
        <v>95</v>
      </c>
    </row>
    <row r="6" spans="1:5">
      <c r="A6" s="17">
        <v>3</v>
      </c>
      <c r="B6" s="18" t="s">
        <v>97</v>
      </c>
      <c r="C6" s="17">
        <v>2</v>
      </c>
      <c r="D6" s="17" t="s">
        <v>94</v>
      </c>
      <c r="E6" s="18" t="s">
        <v>95</v>
      </c>
    </row>
    <row r="7" spans="1:5">
      <c r="A7" s="17">
        <v>4</v>
      </c>
      <c r="B7" s="18" t="s">
        <v>98</v>
      </c>
      <c r="C7" s="17">
        <v>2</v>
      </c>
      <c r="D7" s="17" t="s">
        <v>94</v>
      </c>
      <c r="E7" s="18" t="s">
        <v>95</v>
      </c>
    </row>
    <row r="8" spans="1:5">
      <c r="A8" s="17">
        <v>5</v>
      </c>
      <c r="B8" s="18" t="s">
        <v>99</v>
      </c>
      <c r="C8" s="17">
        <v>1</v>
      </c>
      <c r="D8" s="17" t="s">
        <v>94</v>
      </c>
      <c r="E8" s="18" t="s">
        <v>95</v>
      </c>
    </row>
    <row r="9" spans="1:5">
      <c r="A9" s="17">
        <v>6</v>
      </c>
      <c r="B9" s="18" t="s">
        <v>100</v>
      </c>
      <c r="C9" s="17">
        <v>1</v>
      </c>
      <c r="D9" s="17" t="s">
        <v>94</v>
      </c>
      <c r="E9" s="18" t="s">
        <v>95</v>
      </c>
    </row>
    <row r="10" spans="1:5">
      <c r="A10" s="17">
        <v>7</v>
      </c>
      <c r="B10" s="18" t="s">
        <v>101</v>
      </c>
      <c r="C10" s="17">
        <v>1</v>
      </c>
      <c r="D10" s="17" t="s">
        <v>94</v>
      </c>
      <c r="E10" s="18" t="s">
        <v>95</v>
      </c>
    </row>
    <row r="11" spans="1:5">
      <c r="A11" s="17">
        <v>8</v>
      </c>
      <c r="B11" s="18" t="s">
        <v>102</v>
      </c>
      <c r="C11" s="17">
        <v>2</v>
      </c>
      <c r="D11" s="17" t="s">
        <v>94</v>
      </c>
      <c r="E11" s="18" t="s">
        <v>95</v>
      </c>
    </row>
    <row r="12" spans="1:5">
      <c r="A12" s="17">
        <v>9</v>
      </c>
      <c r="B12" s="18" t="s">
        <v>103</v>
      </c>
      <c r="C12" s="17">
        <v>1</v>
      </c>
      <c r="D12" s="17" t="s">
        <v>94</v>
      </c>
      <c r="E12" s="18" t="s">
        <v>95</v>
      </c>
    </row>
    <row r="13" spans="1:5">
      <c r="A13" s="17">
        <v>10</v>
      </c>
      <c r="B13" s="18" t="s">
        <v>104</v>
      </c>
      <c r="C13" s="17">
        <v>2</v>
      </c>
      <c r="D13" s="17" t="s">
        <v>94</v>
      </c>
      <c r="E13" s="18" t="s">
        <v>105</v>
      </c>
    </row>
    <row r="14" spans="1:5">
      <c r="A14" s="17">
        <v>11</v>
      </c>
      <c r="B14" s="18" t="s">
        <v>106</v>
      </c>
      <c r="C14" s="17">
        <v>3</v>
      </c>
      <c r="D14" s="17" t="s">
        <v>94</v>
      </c>
      <c r="E14" s="18" t="s">
        <v>95</v>
      </c>
    </row>
    <row r="15" spans="1:5">
      <c r="A15" s="17">
        <v>12</v>
      </c>
      <c r="B15" s="18" t="s">
        <v>107</v>
      </c>
      <c r="C15" s="17">
        <v>1</v>
      </c>
      <c r="D15" s="17" t="s">
        <v>94</v>
      </c>
      <c r="E15" s="18" t="s">
        <v>95</v>
      </c>
    </row>
    <row r="16" spans="1:5">
      <c r="A16" s="17">
        <v>13</v>
      </c>
      <c r="B16" s="18" t="s">
        <v>108</v>
      </c>
      <c r="C16" s="17">
        <v>3</v>
      </c>
      <c r="D16" s="17" t="s">
        <v>94</v>
      </c>
      <c r="E16" s="18" t="s">
        <v>109</v>
      </c>
    </row>
    <row r="17" spans="1:5">
      <c r="A17" s="17">
        <v>14</v>
      </c>
      <c r="B17" s="18" t="s">
        <v>110</v>
      </c>
      <c r="C17" s="17">
        <v>4</v>
      </c>
      <c r="D17" s="17" t="s">
        <v>94</v>
      </c>
      <c r="E17" s="18" t="s">
        <v>95</v>
      </c>
    </row>
    <row r="18" spans="1:5">
      <c r="A18" s="17">
        <v>15</v>
      </c>
      <c r="B18" s="18" t="s">
        <v>111</v>
      </c>
      <c r="C18" s="17">
        <v>1</v>
      </c>
      <c r="D18" s="17" t="s">
        <v>94</v>
      </c>
      <c r="E18" s="18" t="s">
        <v>95</v>
      </c>
    </row>
    <row r="19" spans="1:5">
      <c r="A19" s="17">
        <v>16</v>
      </c>
      <c r="B19" s="18" t="s">
        <v>112</v>
      </c>
      <c r="C19" s="17">
        <v>3</v>
      </c>
      <c r="D19" s="17" t="s">
        <v>94</v>
      </c>
      <c r="E19" s="18" t="s">
        <v>95</v>
      </c>
    </row>
    <row r="20" spans="1:5">
      <c r="A20" s="17">
        <v>17</v>
      </c>
      <c r="B20" s="18" t="s">
        <v>113</v>
      </c>
      <c r="C20" s="17">
        <v>1</v>
      </c>
      <c r="D20" s="17" t="s">
        <v>94</v>
      </c>
      <c r="E20" s="18" t="s">
        <v>95</v>
      </c>
    </row>
    <row r="21" spans="1:5">
      <c r="A21" s="17">
        <v>18</v>
      </c>
      <c r="B21" s="18" t="s">
        <v>114</v>
      </c>
      <c r="C21" s="17">
        <v>1</v>
      </c>
      <c r="D21" s="17" t="s">
        <v>94</v>
      </c>
      <c r="E21" s="18" t="s">
        <v>95</v>
      </c>
    </row>
    <row r="22" spans="1:5">
      <c r="A22" s="17">
        <v>19</v>
      </c>
      <c r="B22" s="18" t="s">
        <v>115</v>
      </c>
      <c r="C22" s="17">
        <v>8</v>
      </c>
      <c r="D22" s="17" t="s">
        <v>94</v>
      </c>
      <c r="E22" s="18" t="s">
        <v>95</v>
      </c>
    </row>
    <row r="23" spans="1:5">
      <c r="A23" s="17">
        <v>20</v>
      </c>
      <c r="B23" s="18" t="s">
        <v>116</v>
      </c>
      <c r="C23" s="17">
        <v>1</v>
      </c>
      <c r="D23" s="17" t="s">
        <v>94</v>
      </c>
      <c r="E23" s="18" t="s">
        <v>95</v>
      </c>
    </row>
    <row r="24" spans="1:5">
      <c r="A24" s="17">
        <v>21</v>
      </c>
      <c r="B24" s="18" t="s">
        <v>117</v>
      </c>
      <c r="C24" s="17">
        <v>1</v>
      </c>
      <c r="D24" s="17" t="s">
        <v>94</v>
      </c>
      <c r="E24" s="18" t="s">
        <v>95</v>
      </c>
    </row>
    <row r="25" spans="1:5">
      <c r="A25" s="17">
        <v>22</v>
      </c>
      <c r="B25" s="18" t="s">
        <v>118</v>
      </c>
      <c r="C25" s="17">
        <v>1</v>
      </c>
      <c r="D25" s="17" t="s">
        <v>94</v>
      </c>
      <c r="E25" s="18" t="s">
        <v>95</v>
      </c>
    </row>
    <row r="26" spans="1:5">
      <c r="A26" s="17">
        <v>23</v>
      </c>
      <c r="B26" s="18" t="s">
        <v>119</v>
      </c>
      <c r="C26" s="17">
        <v>3</v>
      </c>
      <c r="D26" s="17" t="s">
        <v>94</v>
      </c>
      <c r="E26" s="18" t="s">
        <v>109</v>
      </c>
    </row>
    <row r="27" spans="1:5">
      <c r="A27" s="17">
        <v>24</v>
      </c>
      <c r="B27" s="18" t="s">
        <v>120</v>
      </c>
      <c r="C27" s="17">
        <v>1</v>
      </c>
      <c r="D27" s="17" t="s">
        <v>94</v>
      </c>
      <c r="E27" s="18" t="s">
        <v>95</v>
      </c>
    </row>
    <row r="28" spans="1:5">
      <c r="A28" s="17">
        <v>25</v>
      </c>
      <c r="B28" s="18" t="s">
        <v>121</v>
      </c>
      <c r="C28" s="17">
        <v>7</v>
      </c>
      <c r="D28" s="17" t="s">
        <v>94</v>
      </c>
      <c r="E28" s="18" t="s">
        <v>95</v>
      </c>
    </row>
    <row r="29" spans="1:5">
      <c r="A29" s="17">
        <v>26</v>
      </c>
      <c r="B29" s="18" t="s">
        <v>122</v>
      </c>
      <c r="C29" s="17">
        <v>3</v>
      </c>
      <c r="D29" s="17" t="s">
        <v>94</v>
      </c>
      <c r="E29" s="18" t="s">
        <v>95</v>
      </c>
    </row>
    <row r="30" spans="1:5">
      <c r="A30" s="17">
        <v>27</v>
      </c>
      <c r="B30" s="18" t="s">
        <v>123</v>
      </c>
      <c r="C30" s="17">
        <v>1</v>
      </c>
      <c r="D30" s="17" t="s">
        <v>94</v>
      </c>
      <c r="E30" s="18" t="s">
        <v>124</v>
      </c>
    </row>
    <row r="31" spans="1:5">
      <c r="A31" s="17">
        <v>28</v>
      </c>
      <c r="B31" s="18" t="s">
        <v>125</v>
      </c>
      <c r="C31" s="17">
        <v>3</v>
      </c>
      <c r="D31" s="17" t="s">
        <v>94</v>
      </c>
      <c r="E31" s="18" t="s">
        <v>124</v>
      </c>
    </row>
    <row r="32" spans="1:5">
      <c r="A32" s="17">
        <v>29</v>
      </c>
      <c r="B32" s="18" t="s">
        <v>58</v>
      </c>
      <c r="C32" s="17">
        <v>5</v>
      </c>
      <c r="D32" s="17" t="s">
        <v>94</v>
      </c>
      <c r="E32" s="18" t="s">
        <v>95</v>
      </c>
    </row>
    <row r="33" spans="1:5">
      <c r="A33" s="17">
        <v>30</v>
      </c>
      <c r="B33" s="18" t="s">
        <v>126</v>
      </c>
      <c r="C33" s="17">
        <v>1</v>
      </c>
      <c r="D33" s="17" t="s">
        <v>94</v>
      </c>
      <c r="E33" s="18" t="s">
        <v>95</v>
      </c>
    </row>
    <row r="34" spans="1:5">
      <c r="A34" s="17">
        <v>31</v>
      </c>
      <c r="B34" s="18" t="s">
        <v>127</v>
      </c>
      <c r="C34" s="17">
        <v>1</v>
      </c>
      <c r="D34" s="17" t="s">
        <v>94</v>
      </c>
      <c r="E34" s="18" t="s">
        <v>95</v>
      </c>
    </row>
    <row r="35" spans="1:5">
      <c r="A35" s="17">
        <v>32</v>
      </c>
      <c r="B35" s="18" t="s">
        <v>128</v>
      </c>
      <c r="C35" s="17">
        <v>1</v>
      </c>
      <c r="D35" s="17" t="s">
        <v>94</v>
      </c>
      <c r="E35" s="18" t="s">
        <v>95</v>
      </c>
    </row>
    <row r="36" spans="1:5">
      <c r="A36" s="17">
        <v>33</v>
      </c>
      <c r="B36" s="18" t="s">
        <v>129</v>
      </c>
      <c r="C36" s="17">
        <v>1</v>
      </c>
      <c r="D36" s="17" t="s">
        <v>94</v>
      </c>
      <c r="E36" s="18" t="s">
        <v>95</v>
      </c>
    </row>
    <row r="37" spans="1:5">
      <c r="A37" s="17">
        <v>34</v>
      </c>
      <c r="B37" s="18" t="s">
        <v>130</v>
      </c>
      <c r="C37" s="17">
        <v>1</v>
      </c>
      <c r="D37" s="17" t="s">
        <v>94</v>
      </c>
      <c r="E37" s="18" t="s">
        <v>95</v>
      </c>
    </row>
    <row r="38" spans="1:5">
      <c r="A38" s="17">
        <v>35</v>
      </c>
      <c r="B38" s="18" t="s">
        <v>131</v>
      </c>
      <c r="C38" s="17">
        <v>1</v>
      </c>
      <c r="D38" s="17" t="s">
        <v>94</v>
      </c>
      <c r="E38" s="18" t="s">
        <v>95</v>
      </c>
    </row>
    <row r="39" spans="1:5">
      <c r="A39" s="17">
        <v>36</v>
      </c>
      <c r="B39" s="18" t="s">
        <v>132</v>
      </c>
      <c r="C39" s="17">
        <v>4</v>
      </c>
      <c r="D39" s="17" t="s">
        <v>94</v>
      </c>
      <c r="E39" s="18" t="s">
        <v>95</v>
      </c>
    </row>
    <row r="40" spans="1:5">
      <c r="A40" s="17">
        <v>37</v>
      </c>
      <c r="B40" s="18" t="s">
        <v>133</v>
      </c>
      <c r="C40" s="17">
        <v>1</v>
      </c>
      <c r="D40" s="17" t="s">
        <v>94</v>
      </c>
      <c r="E40" s="18" t="s">
        <v>95</v>
      </c>
    </row>
    <row r="41" spans="1:5">
      <c r="A41" s="17">
        <v>38</v>
      </c>
      <c r="B41" s="18" t="s">
        <v>134</v>
      </c>
      <c r="C41" s="17">
        <v>9</v>
      </c>
      <c r="D41" s="17" t="s">
        <v>94</v>
      </c>
      <c r="E41" s="18" t="s">
        <v>95</v>
      </c>
    </row>
    <row r="42" spans="1:5">
      <c r="A42" s="17">
        <v>39</v>
      </c>
      <c r="B42" s="18" t="s">
        <v>135</v>
      </c>
      <c r="C42" s="17">
        <v>1</v>
      </c>
      <c r="D42" s="17" t="s">
        <v>94</v>
      </c>
      <c r="E42" s="18" t="s">
        <v>95</v>
      </c>
    </row>
    <row r="43" spans="1:5">
      <c r="A43" s="17">
        <v>40</v>
      </c>
      <c r="B43" s="18" t="s">
        <v>136</v>
      </c>
      <c r="C43" s="17">
        <v>1</v>
      </c>
      <c r="D43" s="17" t="s">
        <v>94</v>
      </c>
      <c r="E43" s="18" t="s">
        <v>95</v>
      </c>
    </row>
    <row r="44" spans="1:5">
      <c r="A44" s="17">
        <v>41</v>
      </c>
      <c r="B44" s="18" t="s">
        <v>137</v>
      </c>
      <c r="C44" s="17">
        <v>2</v>
      </c>
      <c r="D44" s="17" t="s">
        <v>94</v>
      </c>
      <c r="E44" s="18" t="s">
        <v>95</v>
      </c>
    </row>
    <row r="45" spans="1:5">
      <c r="A45" s="17">
        <v>42</v>
      </c>
      <c r="B45" s="18" t="s">
        <v>138</v>
      </c>
      <c r="C45" s="17">
        <v>1</v>
      </c>
      <c r="D45" s="17" t="s">
        <v>94</v>
      </c>
      <c r="E45" s="18" t="s">
        <v>95</v>
      </c>
    </row>
    <row r="46" spans="1:5">
      <c r="A46" s="17">
        <v>43</v>
      </c>
      <c r="B46" s="18" t="s">
        <v>139</v>
      </c>
      <c r="C46" s="17">
        <v>1</v>
      </c>
      <c r="D46" s="17" t="s">
        <v>94</v>
      </c>
      <c r="E46" s="18" t="s">
        <v>95</v>
      </c>
    </row>
    <row r="47" spans="1:5">
      <c r="A47" s="17">
        <v>44</v>
      </c>
      <c r="B47" s="18" t="s">
        <v>140</v>
      </c>
      <c r="C47" s="17">
        <v>1</v>
      </c>
      <c r="D47" s="17" t="s">
        <v>94</v>
      </c>
      <c r="E47" s="18" t="s">
        <v>95</v>
      </c>
    </row>
    <row r="48" spans="1:5">
      <c r="A48" s="17">
        <v>45</v>
      </c>
      <c r="B48" s="18" t="s">
        <v>141</v>
      </c>
      <c r="C48" s="17">
        <v>1</v>
      </c>
      <c r="D48" s="17" t="s">
        <v>94</v>
      </c>
      <c r="E48" s="18" t="s">
        <v>95</v>
      </c>
    </row>
    <row r="49" spans="1:5">
      <c r="A49" s="17">
        <v>46</v>
      </c>
      <c r="B49" s="18" t="s">
        <v>142</v>
      </c>
      <c r="C49" s="17">
        <v>1</v>
      </c>
      <c r="D49" s="17" t="s">
        <v>94</v>
      </c>
      <c r="E49" s="18" t="s">
        <v>95</v>
      </c>
    </row>
    <row r="50" spans="1:5">
      <c r="A50" s="17">
        <v>47</v>
      </c>
      <c r="B50" s="18" t="s">
        <v>143</v>
      </c>
      <c r="C50" s="17">
        <v>1</v>
      </c>
      <c r="D50" s="17" t="s">
        <v>94</v>
      </c>
      <c r="E50" s="18" t="s">
        <v>95</v>
      </c>
    </row>
    <row r="51" spans="1:5">
      <c r="A51" s="17">
        <v>48</v>
      </c>
      <c r="B51" s="18" t="s">
        <v>144</v>
      </c>
      <c r="C51" s="17">
        <v>1</v>
      </c>
      <c r="D51" s="17" t="s">
        <v>94</v>
      </c>
      <c r="E51" s="18" t="s">
        <v>95</v>
      </c>
    </row>
    <row r="52" spans="1:5">
      <c r="A52" s="17">
        <v>49</v>
      </c>
      <c r="B52" s="18" t="s">
        <v>145</v>
      </c>
      <c r="C52" s="17">
        <v>1</v>
      </c>
      <c r="D52" s="17" t="s">
        <v>94</v>
      </c>
      <c r="E52" s="18" t="s">
        <v>95</v>
      </c>
    </row>
    <row r="53" spans="1:5">
      <c r="A53" s="17">
        <v>50</v>
      </c>
      <c r="B53" s="18" t="s">
        <v>146</v>
      </c>
      <c r="C53" s="17">
        <v>1</v>
      </c>
      <c r="D53" s="17" t="s">
        <v>147</v>
      </c>
      <c r="E53" s="18" t="s">
        <v>95</v>
      </c>
    </row>
    <row r="54" spans="1:5">
      <c r="A54" s="17">
        <v>51</v>
      </c>
      <c r="B54" s="18" t="s">
        <v>148</v>
      </c>
      <c r="C54" s="17">
        <v>7</v>
      </c>
      <c r="D54" s="17" t="s">
        <v>147</v>
      </c>
      <c r="E54" s="18" t="s">
        <v>95</v>
      </c>
    </row>
    <row r="55" spans="1:5">
      <c r="A55" s="17">
        <v>52</v>
      </c>
      <c r="B55" s="18" t="s">
        <v>149</v>
      </c>
      <c r="C55" s="17">
        <v>8</v>
      </c>
      <c r="D55" s="17" t="s">
        <v>147</v>
      </c>
      <c r="E55" s="18" t="s">
        <v>95</v>
      </c>
    </row>
    <row r="56" spans="1:5">
      <c r="A56" s="17">
        <v>53</v>
      </c>
      <c r="B56" s="18" t="s">
        <v>150</v>
      </c>
      <c r="C56" s="17">
        <v>1</v>
      </c>
      <c r="D56" s="17" t="s">
        <v>94</v>
      </c>
      <c r="E56" s="18" t="s">
        <v>95</v>
      </c>
    </row>
    <row r="57" spans="1:5">
      <c r="A57" s="17">
        <v>53</v>
      </c>
      <c r="B57" s="18" t="s">
        <v>151</v>
      </c>
      <c r="C57" s="17">
        <v>1</v>
      </c>
      <c r="D57" s="17" t="s">
        <v>94</v>
      </c>
      <c r="E57" s="18" t="s">
        <v>95</v>
      </c>
    </row>
    <row r="58" spans="1:5">
      <c r="A58" s="17">
        <v>54</v>
      </c>
      <c r="B58" s="18" t="s">
        <v>152</v>
      </c>
      <c r="C58" s="17">
        <v>1</v>
      </c>
      <c r="D58" s="17" t="s">
        <v>94</v>
      </c>
      <c r="E58" s="18" t="s">
        <v>95</v>
      </c>
    </row>
    <row r="59" spans="1:5">
      <c r="A59" s="17">
        <v>55</v>
      </c>
      <c r="B59" s="18" t="s">
        <v>153</v>
      </c>
      <c r="C59" s="17">
        <v>2</v>
      </c>
      <c r="D59" s="17" t="s">
        <v>94</v>
      </c>
      <c r="E59" s="18" t="s">
        <v>95</v>
      </c>
    </row>
    <row r="60" spans="1:5">
      <c r="A60" s="17">
        <v>56</v>
      </c>
      <c r="B60" s="18" t="s">
        <v>154</v>
      </c>
      <c r="C60" s="17">
        <v>1</v>
      </c>
      <c r="D60" s="17" t="s">
        <v>94</v>
      </c>
      <c r="E60" s="18" t="s">
        <v>95</v>
      </c>
    </row>
    <row r="61" spans="1:5">
      <c r="A61" s="148" t="s">
        <v>155</v>
      </c>
      <c r="B61" s="148"/>
      <c r="C61" s="19">
        <f>COUNTA(B4:B60)</f>
        <v>57</v>
      </c>
      <c r="D61" s="20"/>
      <c r="E61" s="20"/>
    </row>
  </sheetData>
  <mergeCells count="2">
    <mergeCell ref="A1:E1"/>
    <mergeCell ref="A61:B6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232C-1B2B-40F7-9867-CF1E76EAF407}">
  <dimension ref="A1:D48"/>
  <sheetViews>
    <sheetView topLeftCell="A10" workbookViewId="0">
      <selection activeCell="D13" sqref="D13"/>
    </sheetView>
  </sheetViews>
  <sheetFormatPr defaultRowHeight="14.5"/>
  <cols>
    <col min="2" max="2" width="54.26953125" customWidth="1"/>
    <col min="4" max="4" width="80.26953125" customWidth="1"/>
  </cols>
  <sheetData>
    <row r="1" spans="1:4" ht="24" thickBot="1">
      <c r="A1" s="149" t="s">
        <v>156</v>
      </c>
      <c r="B1" s="149"/>
      <c r="C1" s="149"/>
      <c r="D1" s="149"/>
    </row>
    <row r="2" spans="1:4" ht="16" thickBot="1">
      <c r="A2" s="21" t="s">
        <v>34</v>
      </c>
      <c r="B2" s="22" t="s">
        <v>157</v>
      </c>
      <c r="C2" s="22" t="s">
        <v>2</v>
      </c>
      <c r="D2" s="23" t="s">
        <v>158</v>
      </c>
    </row>
    <row r="3" spans="1:4">
      <c r="A3" s="24">
        <v>1</v>
      </c>
      <c r="B3" s="25" t="s">
        <v>159</v>
      </c>
      <c r="C3" s="26">
        <v>2</v>
      </c>
      <c r="D3" s="27" t="s">
        <v>160</v>
      </c>
    </row>
    <row r="4" spans="1:4">
      <c r="A4" s="28">
        <v>2</v>
      </c>
      <c r="B4" s="29" t="s">
        <v>161</v>
      </c>
      <c r="C4" s="30">
        <v>1</v>
      </c>
      <c r="D4" s="31" t="s">
        <v>160</v>
      </c>
    </row>
    <row r="5" spans="1:4">
      <c r="A5" s="28">
        <v>3</v>
      </c>
      <c r="B5" s="29" t="s">
        <v>162</v>
      </c>
      <c r="C5" s="30">
        <v>1</v>
      </c>
      <c r="D5" s="31" t="s">
        <v>160</v>
      </c>
    </row>
    <row r="6" spans="1:4">
      <c r="A6" s="28">
        <v>4</v>
      </c>
      <c r="B6" s="29" t="s">
        <v>163</v>
      </c>
      <c r="C6" s="30"/>
      <c r="D6" s="31" t="s">
        <v>160</v>
      </c>
    </row>
    <row r="7" spans="1:4">
      <c r="A7" s="28"/>
      <c r="B7" s="29" t="s">
        <v>164</v>
      </c>
      <c r="C7" s="30">
        <v>1</v>
      </c>
      <c r="D7" s="31" t="s">
        <v>165</v>
      </c>
    </row>
    <row r="8" spans="1:4">
      <c r="A8" s="28"/>
      <c r="B8" s="29" t="s">
        <v>164</v>
      </c>
      <c r="C8" s="30">
        <v>1</v>
      </c>
      <c r="D8" s="31" t="s">
        <v>166</v>
      </c>
    </row>
    <row r="9" spans="1:4">
      <c r="A9" s="28"/>
      <c r="B9" s="29" t="s">
        <v>167</v>
      </c>
      <c r="C9" s="30">
        <v>1</v>
      </c>
      <c r="D9" s="31" t="s">
        <v>168</v>
      </c>
    </row>
    <row r="10" spans="1:4">
      <c r="A10" s="28">
        <v>5</v>
      </c>
      <c r="B10" s="29" t="s">
        <v>169</v>
      </c>
      <c r="C10" s="30">
        <v>1</v>
      </c>
      <c r="D10" s="31" t="s">
        <v>160</v>
      </c>
    </row>
    <row r="11" spans="1:4">
      <c r="A11" s="28">
        <v>6</v>
      </c>
      <c r="B11" s="29" t="s">
        <v>170</v>
      </c>
      <c r="C11" s="30">
        <v>3</v>
      </c>
      <c r="D11" s="31" t="s">
        <v>160</v>
      </c>
    </row>
    <row r="12" spans="1:4">
      <c r="A12" s="28">
        <v>7</v>
      </c>
      <c r="B12" s="29" t="s">
        <v>171</v>
      </c>
      <c r="C12" s="30">
        <v>1</v>
      </c>
      <c r="D12" s="31" t="s">
        <v>172</v>
      </c>
    </row>
    <row r="13" spans="1:4">
      <c r="A13" s="28">
        <v>8</v>
      </c>
      <c r="B13" s="29" t="s">
        <v>173</v>
      </c>
      <c r="C13" s="30">
        <v>1</v>
      </c>
      <c r="D13" s="31" t="s">
        <v>160</v>
      </c>
    </row>
    <row r="14" spans="1:4">
      <c r="A14" s="28">
        <v>9</v>
      </c>
      <c r="B14" s="29" t="s">
        <v>174</v>
      </c>
      <c r="C14" s="30">
        <v>10</v>
      </c>
      <c r="D14" s="31" t="s">
        <v>175</v>
      </c>
    </row>
    <row r="15" spans="1:4">
      <c r="A15" s="28"/>
      <c r="B15" s="29"/>
      <c r="C15" s="29"/>
      <c r="D15" s="31" t="s">
        <v>176</v>
      </c>
    </row>
    <row r="16" spans="1:4">
      <c r="A16" s="28">
        <v>10</v>
      </c>
      <c r="B16" s="29" t="s">
        <v>177</v>
      </c>
      <c r="C16" s="30">
        <v>1</v>
      </c>
      <c r="D16" s="31" t="s">
        <v>178</v>
      </c>
    </row>
    <row r="17" spans="1:4">
      <c r="A17" s="28">
        <v>11</v>
      </c>
      <c r="B17" s="29" t="s">
        <v>179</v>
      </c>
      <c r="C17" s="30">
        <v>1</v>
      </c>
      <c r="D17" s="31" t="s">
        <v>160</v>
      </c>
    </row>
    <row r="18" spans="1:4">
      <c r="A18" s="28">
        <v>12</v>
      </c>
      <c r="B18" s="29" t="s">
        <v>180</v>
      </c>
      <c r="C18" s="30">
        <v>1</v>
      </c>
      <c r="D18" s="31" t="s">
        <v>160</v>
      </c>
    </row>
    <row r="19" spans="1:4">
      <c r="A19" s="28">
        <v>13</v>
      </c>
      <c r="B19" s="29" t="s">
        <v>181</v>
      </c>
      <c r="C19" s="30">
        <v>1</v>
      </c>
      <c r="D19" s="31" t="s">
        <v>160</v>
      </c>
    </row>
    <row r="20" spans="1:4">
      <c r="A20" s="28">
        <v>14</v>
      </c>
      <c r="B20" s="29" t="s">
        <v>182</v>
      </c>
      <c r="C20" s="30">
        <v>1</v>
      </c>
      <c r="D20" s="31" t="s">
        <v>183</v>
      </c>
    </row>
    <row r="21" spans="1:4">
      <c r="A21" s="28">
        <v>15</v>
      </c>
      <c r="B21" s="29" t="s">
        <v>184</v>
      </c>
      <c r="C21" s="30">
        <v>1</v>
      </c>
      <c r="D21" s="31" t="s">
        <v>185</v>
      </c>
    </row>
    <row r="22" spans="1:4">
      <c r="A22" s="28">
        <v>16</v>
      </c>
      <c r="B22" s="29" t="s">
        <v>186</v>
      </c>
      <c r="C22" s="30">
        <v>1</v>
      </c>
      <c r="D22" s="31" t="s">
        <v>172</v>
      </c>
    </row>
    <row r="23" spans="1:4">
      <c r="A23" s="28">
        <v>17</v>
      </c>
      <c r="B23" s="29" t="s">
        <v>187</v>
      </c>
      <c r="C23" s="30">
        <v>1</v>
      </c>
      <c r="D23" s="31" t="s">
        <v>160</v>
      </c>
    </row>
    <row r="24" spans="1:4">
      <c r="A24" s="28">
        <v>18</v>
      </c>
      <c r="B24" s="29" t="s">
        <v>188</v>
      </c>
      <c r="C24" s="30">
        <v>1</v>
      </c>
      <c r="D24" s="31" t="s">
        <v>160</v>
      </c>
    </row>
    <row r="25" spans="1:4">
      <c r="A25" s="28">
        <v>19</v>
      </c>
      <c r="B25" s="29" t="s">
        <v>189</v>
      </c>
      <c r="C25" s="30">
        <v>2</v>
      </c>
      <c r="D25" s="31" t="s">
        <v>160</v>
      </c>
    </row>
    <row r="26" spans="1:4">
      <c r="A26" s="28">
        <v>20</v>
      </c>
      <c r="B26" s="29" t="s">
        <v>190</v>
      </c>
      <c r="C26" s="30">
        <v>1</v>
      </c>
      <c r="D26" s="31" t="s">
        <v>160</v>
      </c>
    </row>
    <row r="27" spans="1:4">
      <c r="A27" s="28">
        <v>21</v>
      </c>
      <c r="B27" s="29" t="s">
        <v>191</v>
      </c>
      <c r="C27" s="30">
        <v>6</v>
      </c>
      <c r="D27" s="31" t="s">
        <v>160</v>
      </c>
    </row>
    <row r="28" spans="1:4">
      <c r="A28" s="28">
        <v>22</v>
      </c>
      <c r="B28" s="29" t="s">
        <v>192</v>
      </c>
      <c r="C28" s="30">
        <v>1</v>
      </c>
      <c r="D28" s="31" t="s">
        <v>160</v>
      </c>
    </row>
    <row r="29" spans="1:4">
      <c r="A29" s="28">
        <v>23</v>
      </c>
      <c r="B29" s="29" t="s">
        <v>193</v>
      </c>
      <c r="C29" s="30">
        <v>1</v>
      </c>
      <c r="D29" s="31" t="s">
        <v>160</v>
      </c>
    </row>
    <row r="30" spans="1:4">
      <c r="A30" s="28">
        <v>24</v>
      </c>
      <c r="B30" s="29" t="s">
        <v>194</v>
      </c>
      <c r="C30" s="30">
        <v>1</v>
      </c>
      <c r="D30" s="31" t="s">
        <v>160</v>
      </c>
    </row>
    <row r="31" spans="1:4">
      <c r="A31" s="28">
        <v>25</v>
      </c>
      <c r="B31" s="29" t="s">
        <v>195</v>
      </c>
      <c r="C31" s="30">
        <v>1</v>
      </c>
      <c r="D31" s="31" t="s">
        <v>196</v>
      </c>
    </row>
    <row r="32" spans="1:4">
      <c r="A32" s="28">
        <v>26</v>
      </c>
      <c r="B32" s="29" t="s">
        <v>197</v>
      </c>
      <c r="C32" s="30">
        <v>1</v>
      </c>
      <c r="D32" s="31" t="s">
        <v>160</v>
      </c>
    </row>
    <row r="33" spans="1:4">
      <c r="A33" s="28">
        <v>27</v>
      </c>
      <c r="B33" s="29" t="s">
        <v>198</v>
      </c>
      <c r="C33" s="30">
        <v>1</v>
      </c>
      <c r="D33" s="31" t="s">
        <v>160</v>
      </c>
    </row>
    <row r="34" spans="1:4">
      <c r="A34" s="28">
        <v>28</v>
      </c>
      <c r="B34" s="29" t="s">
        <v>199</v>
      </c>
      <c r="C34" s="30">
        <v>5</v>
      </c>
      <c r="D34" s="31" t="s">
        <v>160</v>
      </c>
    </row>
    <row r="35" spans="1:4">
      <c r="A35" s="28">
        <v>29</v>
      </c>
      <c r="B35" s="29" t="s">
        <v>200</v>
      </c>
      <c r="C35" s="30">
        <v>8</v>
      </c>
      <c r="D35" s="31" t="s">
        <v>160</v>
      </c>
    </row>
    <row r="36" spans="1:4">
      <c r="A36" s="28">
        <v>30</v>
      </c>
      <c r="B36" s="29" t="s">
        <v>201</v>
      </c>
      <c r="C36" s="30">
        <v>1</v>
      </c>
      <c r="D36" s="31" t="s">
        <v>160</v>
      </c>
    </row>
    <row r="37" spans="1:4">
      <c r="A37" s="28">
        <v>31</v>
      </c>
      <c r="B37" s="29" t="s">
        <v>202</v>
      </c>
      <c r="C37" s="30">
        <v>1</v>
      </c>
      <c r="D37" s="31" t="s">
        <v>160</v>
      </c>
    </row>
    <row r="38" spans="1:4">
      <c r="A38" s="28">
        <v>32</v>
      </c>
      <c r="B38" s="29" t="s">
        <v>203</v>
      </c>
      <c r="C38" s="30">
        <v>1</v>
      </c>
      <c r="D38" s="31" t="s">
        <v>204</v>
      </c>
    </row>
    <row r="39" spans="1:4">
      <c r="A39" s="28">
        <v>33</v>
      </c>
      <c r="B39" s="29" t="s">
        <v>28</v>
      </c>
      <c r="C39" s="30">
        <v>1</v>
      </c>
      <c r="D39" s="31" t="s">
        <v>205</v>
      </c>
    </row>
    <row r="40" spans="1:4">
      <c r="A40" s="28">
        <v>34</v>
      </c>
      <c r="B40" s="29" t="s">
        <v>206</v>
      </c>
      <c r="C40" s="30">
        <v>2</v>
      </c>
      <c r="D40" s="31" t="s">
        <v>160</v>
      </c>
    </row>
    <row r="41" spans="1:4">
      <c r="A41" s="28">
        <v>35</v>
      </c>
      <c r="B41" s="29" t="s">
        <v>207</v>
      </c>
      <c r="C41" s="30">
        <v>2</v>
      </c>
      <c r="D41" s="31" t="s">
        <v>208</v>
      </c>
    </row>
    <row r="42" spans="1:4">
      <c r="A42" s="28">
        <v>36</v>
      </c>
      <c r="B42" s="29" t="s">
        <v>209</v>
      </c>
      <c r="C42" s="30">
        <v>1</v>
      </c>
      <c r="D42" s="31" t="s">
        <v>210</v>
      </c>
    </row>
    <row r="43" spans="1:4">
      <c r="A43" s="28">
        <v>37</v>
      </c>
      <c r="B43" s="29" t="s">
        <v>211</v>
      </c>
      <c r="C43" s="30">
        <v>2</v>
      </c>
      <c r="D43" s="31" t="s">
        <v>160</v>
      </c>
    </row>
    <row r="44" spans="1:4">
      <c r="A44" s="28">
        <v>38</v>
      </c>
      <c r="B44" s="29" t="s">
        <v>212</v>
      </c>
      <c r="C44" s="30">
        <v>1</v>
      </c>
      <c r="D44" s="31" t="s">
        <v>160</v>
      </c>
    </row>
    <row r="45" spans="1:4">
      <c r="A45" s="28">
        <v>39</v>
      </c>
      <c r="B45" s="29" t="s">
        <v>213</v>
      </c>
      <c r="C45" s="30">
        <v>1</v>
      </c>
      <c r="D45" s="31" t="s">
        <v>160</v>
      </c>
    </row>
    <row r="46" spans="1:4">
      <c r="A46" s="28">
        <v>40</v>
      </c>
      <c r="B46" s="29" t="s">
        <v>214</v>
      </c>
      <c r="C46" s="30">
        <v>3</v>
      </c>
      <c r="D46" s="31" t="s">
        <v>160</v>
      </c>
    </row>
    <row r="47" spans="1:4">
      <c r="A47" s="28">
        <v>41</v>
      </c>
      <c r="B47" s="29" t="s">
        <v>215</v>
      </c>
      <c r="C47" s="30">
        <v>3</v>
      </c>
      <c r="D47" s="31" t="s">
        <v>216</v>
      </c>
    </row>
    <row r="48" spans="1:4" ht="15" thickBot="1">
      <c r="A48" s="32">
        <v>42</v>
      </c>
      <c r="B48" s="33" t="s">
        <v>217</v>
      </c>
      <c r="C48" s="34">
        <v>1</v>
      </c>
      <c r="D48" s="35" t="s">
        <v>218</v>
      </c>
    </row>
  </sheetData>
  <mergeCells count="1">
    <mergeCell ref="A1:D1"/>
  </mergeCells>
  <pageMargins left="0.7" right="0.7" top="0.75" bottom="0.75" header="0.3" footer="0.3"/>
  <pageSetup paperSize="2833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0371-72ED-497B-8AF5-E78CAFA57C9A}">
  <dimension ref="A1:E37"/>
  <sheetViews>
    <sheetView topLeftCell="A16" workbookViewId="0">
      <selection activeCell="I31" sqref="I31"/>
    </sheetView>
  </sheetViews>
  <sheetFormatPr defaultRowHeight="14.5"/>
  <cols>
    <col min="1" max="1" width="5.54296875" customWidth="1"/>
    <col min="2" max="2" width="31.26953125" customWidth="1"/>
    <col min="3" max="3" width="23.7265625" customWidth="1"/>
    <col min="4" max="4" width="11.453125" customWidth="1"/>
    <col min="5" max="5" width="12.54296875" customWidth="1"/>
  </cols>
  <sheetData>
    <row r="1" spans="1:5">
      <c r="A1" s="12" t="s">
        <v>35</v>
      </c>
      <c r="B1" s="13"/>
      <c r="C1" s="13"/>
      <c r="D1" s="13"/>
      <c r="E1" s="13"/>
    </row>
    <row r="2" spans="1:5">
      <c r="A2" s="5" t="s">
        <v>34</v>
      </c>
      <c r="B2" s="5" t="s">
        <v>36</v>
      </c>
      <c r="C2" s="5" t="s">
        <v>37</v>
      </c>
      <c r="D2" s="4"/>
    </row>
    <row r="3" spans="1:5">
      <c r="A3" s="3">
        <v>1</v>
      </c>
      <c r="B3" s="14" t="s">
        <v>3</v>
      </c>
      <c r="C3" s="3" t="s">
        <v>39</v>
      </c>
      <c r="D3" s="3" t="s">
        <v>40</v>
      </c>
    </row>
    <row r="4" spans="1:5">
      <c r="A4" s="3">
        <v>2</v>
      </c>
      <c r="B4" s="14" t="s">
        <v>41</v>
      </c>
      <c r="C4" s="3" t="s">
        <v>42</v>
      </c>
      <c r="D4" s="3" t="s">
        <v>40</v>
      </c>
    </row>
    <row r="5" spans="1:5">
      <c r="A5" s="3">
        <v>3</v>
      </c>
      <c r="B5" s="14" t="s">
        <v>43</v>
      </c>
      <c r="C5" s="3" t="s">
        <v>39</v>
      </c>
      <c r="D5" s="3" t="s">
        <v>40</v>
      </c>
    </row>
    <row r="6" spans="1:5">
      <c r="A6" s="3">
        <v>4</v>
      </c>
      <c r="B6" s="14" t="s">
        <v>7</v>
      </c>
      <c r="C6" s="3" t="s">
        <v>44</v>
      </c>
      <c r="D6" s="3" t="s">
        <v>40</v>
      </c>
    </row>
    <row r="7" spans="1:5">
      <c r="A7" s="3">
        <v>5</v>
      </c>
      <c r="B7" s="14" t="s">
        <v>45</v>
      </c>
      <c r="C7" s="3" t="s">
        <v>42</v>
      </c>
      <c r="D7" s="3" t="s">
        <v>40</v>
      </c>
    </row>
    <row r="8" spans="1:5">
      <c r="A8" s="3">
        <v>6</v>
      </c>
      <c r="B8" s="14" t="s">
        <v>46</v>
      </c>
      <c r="C8" s="3" t="s">
        <v>47</v>
      </c>
      <c r="D8" s="3" t="s">
        <v>40</v>
      </c>
    </row>
    <row r="9" spans="1:5">
      <c r="A9" s="3">
        <v>7</v>
      </c>
      <c r="B9" s="14" t="s">
        <v>48</v>
      </c>
      <c r="C9" s="3" t="s">
        <v>49</v>
      </c>
      <c r="D9" s="3" t="s">
        <v>40</v>
      </c>
    </row>
    <row r="10" spans="1:5">
      <c r="A10" s="3">
        <v>8</v>
      </c>
      <c r="B10" s="14" t="s">
        <v>50</v>
      </c>
      <c r="C10" s="3" t="s">
        <v>42</v>
      </c>
      <c r="D10" s="3" t="s">
        <v>51</v>
      </c>
    </row>
    <row r="11" spans="1:5">
      <c r="A11" s="3">
        <v>9</v>
      </c>
      <c r="B11" s="14" t="s">
        <v>52</v>
      </c>
      <c r="C11" s="3" t="s">
        <v>42</v>
      </c>
      <c r="D11" s="3" t="s">
        <v>40</v>
      </c>
    </row>
    <row r="12" spans="1:5">
      <c r="A12" s="3">
        <v>10</v>
      </c>
      <c r="B12" s="14" t="s">
        <v>53</v>
      </c>
      <c r="C12" s="3" t="s">
        <v>44</v>
      </c>
      <c r="D12" s="3" t="s">
        <v>40</v>
      </c>
    </row>
    <row r="13" spans="1:5">
      <c r="A13" s="3">
        <v>11</v>
      </c>
      <c r="B13" s="14" t="s">
        <v>54</v>
      </c>
      <c r="C13" s="3" t="s">
        <v>44</v>
      </c>
      <c r="D13" s="3" t="s">
        <v>40</v>
      </c>
    </row>
    <row r="14" spans="1:5">
      <c r="A14" s="3">
        <v>12</v>
      </c>
      <c r="B14" s="14" t="s">
        <v>55</v>
      </c>
      <c r="C14" s="3" t="s">
        <v>44</v>
      </c>
      <c r="D14" s="3" t="s">
        <v>40</v>
      </c>
    </row>
    <row r="15" spans="1:5">
      <c r="A15" s="3">
        <v>13</v>
      </c>
      <c r="B15" s="14" t="s">
        <v>56</v>
      </c>
      <c r="C15" s="3" t="s">
        <v>57</v>
      </c>
      <c r="D15" s="3" t="s">
        <v>40</v>
      </c>
    </row>
    <row r="16" spans="1:5">
      <c r="A16" s="3">
        <v>14</v>
      </c>
      <c r="B16" s="14" t="s">
        <v>58</v>
      </c>
      <c r="C16" s="3" t="s">
        <v>59</v>
      </c>
      <c r="D16" s="3" t="s">
        <v>40</v>
      </c>
    </row>
    <row r="17" spans="1:4">
      <c r="A17" s="3">
        <v>15</v>
      </c>
      <c r="B17" s="14" t="s">
        <v>60</v>
      </c>
      <c r="C17" s="3" t="s">
        <v>39</v>
      </c>
      <c r="D17" s="3" t="s">
        <v>40</v>
      </c>
    </row>
    <row r="18" spans="1:4">
      <c r="A18" s="3">
        <v>16</v>
      </c>
      <c r="B18" s="14" t="s">
        <v>61</v>
      </c>
      <c r="C18" s="3" t="s">
        <v>44</v>
      </c>
      <c r="D18" s="3" t="s">
        <v>40</v>
      </c>
    </row>
    <row r="19" spans="1:4">
      <c r="A19" s="3">
        <v>17</v>
      </c>
      <c r="B19" s="14" t="s">
        <v>62</v>
      </c>
      <c r="C19" s="3" t="s">
        <v>44</v>
      </c>
      <c r="D19" s="3" t="s">
        <v>40</v>
      </c>
    </row>
    <row r="20" spans="1:4">
      <c r="A20" s="3">
        <v>18</v>
      </c>
      <c r="B20" s="14" t="s">
        <v>63</v>
      </c>
      <c r="C20" s="3" t="s">
        <v>44</v>
      </c>
      <c r="D20" s="3" t="s">
        <v>40</v>
      </c>
    </row>
    <row r="21" spans="1:4">
      <c r="A21" s="3">
        <v>19</v>
      </c>
      <c r="B21" s="14" t="s">
        <v>64</v>
      </c>
      <c r="C21" s="3" t="s">
        <v>65</v>
      </c>
      <c r="D21" s="3" t="s">
        <v>40</v>
      </c>
    </row>
    <row r="22" spans="1:4">
      <c r="A22" s="3">
        <v>20</v>
      </c>
      <c r="B22" s="14" t="s">
        <v>66</v>
      </c>
      <c r="C22" s="3" t="s">
        <v>67</v>
      </c>
      <c r="D22" s="3" t="s">
        <v>40</v>
      </c>
    </row>
    <row r="23" spans="1:4">
      <c r="A23" s="3">
        <v>21</v>
      </c>
      <c r="B23" s="14" t="s">
        <v>68</v>
      </c>
      <c r="C23" s="3" t="s">
        <v>69</v>
      </c>
      <c r="D23" s="3" t="s">
        <v>40</v>
      </c>
    </row>
    <row r="24" spans="1:4">
      <c r="A24" s="3">
        <v>22</v>
      </c>
      <c r="B24" s="14" t="s">
        <v>70</v>
      </c>
      <c r="C24" s="3" t="s">
        <v>71</v>
      </c>
      <c r="D24" s="3" t="s">
        <v>40</v>
      </c>
    </row>
    <row r="25" spans="1:4">
      <c r="A25" s="3">
        <v>23</v>
      </c>
      <c r="B25" s="14" t="s">
        <v>72</v>
      </c>
      <c r="C25" s="3" t="s">
        <v>49</v>
      </c>
      <c r="D25" s="3" t="s">
        <v>40</v>
      </c>
    </row>
    <row r="26" spans="1:4">
      <c r="A26" s="3">
        <v>24</v>
      </c>
      <c r="B26" s="14" t="s">
        <v>73</v>
      </c>
      <c r="C26" s="3" t="s">
        <v>44</v>
      </c>
      <c r="D26" s="3" t="s">
        <v>40</v>
      </c>
    </row>
    <row r="27" spans="1:4">
      <c r="A27" s="3">
        <v>25</v>
      </c>
      <c r="B27" s="14" t="s">
        <v>74</v>
      </c>
      <c r="C27" s="3" t="s">
        <v>44</v>
      </c>
      <c r="D27" s="3" t="s">
        <v>40</v>
      </c>
    </row>
    <row r="28" spans="1:4">
      <c r="A28" s="3">
        <v>26</v>
      </c>
      <c r="B28" s="14" t="s">
        <v>75</v>
      </c>
      <c r="C28" s="3" t="s">
        <v>76</v>
      </c>
      <c r="D28" s="3" t="s">
        <v>40</v>
      </c>
    </row>
    <row r="29" spans="1:4">
      <c r="A29" s="3">
        <v>27</v>
      </c>
      <c r="B29" s="14" t="s">
        <v>77</v>
      </c>
      <c r="C29" s="3" t="s">
        <v>78</v>
      </c>
      <c r="D29" s="3" t="s">
        <v>40</v>
      </c>
    </row>
    <row r="30" spans="1:4">
      <c r="A30" s="3">
        <v>28</v>
      </c>
      <c r="B30" s="14" t="s">
        <v>79</v>
      </c>
      <c r="C30" s="3" t="s">
        <v>80</v>
      </c>
      <c r="D30" s="3" t="s">
        <v>40</v>
      </c>
    </row>
    <row r="31" spans="1:4">
      <c r="A31" s="3">
        <v>29</v>
      </c>
      <c r="B31" s="14" t="s">
        <v>81</v>
      </c>
      <c r="C31" s="3" t="s">
        <v>65</v>
      </c>
      <c r="D31" s="3" t="s">
        <v>51</v>
      </c>
    </row>
    <row r="32" spans="1:4">
      <c r="A32" s="3">
        <v>30</v>
      </c>
      <c r="B32" s="14" t="s">
        <v>82</v>
      </c>
      <c r="C32" s="3" t="s">
        <v>44</v>
      </c>
      <c r="D32" s="3" t="s">
        <v>40</v>
      </c>
    </row>
    <row r="33" spans="1:4">
      <c r="A33" s="3">
        <v>31</v>
      </c>
      <c r="B33" s="14" t="s">
        <v>83</v>
      </c>
      <c r="C33" s="3" t="s">
        <v>65</v>
      </c>
      <c r="D33" s="3" t="s">
        <v>40</v>
      </c>
    </row>
    <row r="34" spans="1:4">
      <c r="A34" s="3">
        <v>32</v>
      </c>
      <c r="B34" s="14" t="s">
        <v>84</v>
      </c>
      <c r="C34" s="3" t="s">
        <v>44</v>
      </c>
      <c r="D34" s="3" t="s">
        <v>40</v>
      </c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3B07-1D36-41BD-85AF-3081897060CA}">
  <dimension ref="A2:C53"/>
  <sheetViews>
    <sheetView workbookViewId="0">
      <selection activeCell="H18" sqref="H18"/>
    </sheetView>
  </sheetViews>
  <sheetFormatPr defaultRowHeight="14.5"/>
  <cols>
    <col min="2" max="2" width="40.54296875" customWidth="1"/>
    <col min="3" max="3" width="16.1796875" customWidth="1"/>
  </cols>
  <sheetData>
    <row r="2" spans="1:3" ht="23.5">
      <c r="A2" s="150" t="s">
        <v>219</v>
      </c>
      <c r="B2" s="150"/>
      <c r="C2" s="150"/>
    </row>
    <row r="3" spans="1:3">
      <c r="A3" s="2"/>
      <c r="B3" s="2"/>
      <c r="C3" s="2"/>
    </row>
    <row r="4" spans="1:3">
      <c r="A4" s="30" t="s">
        <v>34</v>
      </c>
      <c r="B4" s="30" t="s">
        <v>220</v>
      </c>
      <c r="C4" s="30" t="s">
        <v>37</v>
      </c>
    </row>
    <row r="5" spans="1:3">
      <c r="A5" s="14">
        <v>1</v>
      </c>
      <c r="B5" s="14" t="s">
        <v>221</v>
      </c>
      <c r="C5" s="3" t="s">
        <v>222</v>
      </c>
    </row>
    <row r="6" spans="1:3">
      <c r="A6" s="14">
        <v>2</v>
      </c>
      <c r="B6" s="14" t="s">
        <v>223</v>
      </c>
      <c r="C6" s="3">
        <v>2</v>
      </c>
    </row>
    <row r="7" spans="1:3">
      <c r="A7" s="14">
        <v>3</v>
      </c>
      <c r="B7" s="14" t="s">
        <v>224</v>
      </c>
      <c r="C7" s="3">
        <v>3</v>
      </c>
    </row>
    <row r="8" spans="1:3">
      <c r="A8" s="14">
        <v>4</v>
      </c>
      <c r="B8" s="14" t="s">
        <v>225</v>
      </c>
      <c r="C8" s="3">
        <v>3</v>
      </c>
    </row>
    <row r="9" spans="1:3">
      <c r="A9" s="14">
        <v>5</v>
      </c>
      <c r="B9" s="14" t="s">
        <v>226</v>
      </c>
      <c r="C9" s="3">
        <v>1</v>
      </c>
    </row>
    <row r="10" spans="1:3">
      <c r="A10" s="14">
        <v>6</v>
      </c>
      <c r="B10" s="14" t="s">
        <v>227</v>
      </c>
      <c r="C10" s="3">
        <v>2</v>
      </c>
    </row>
    <row r="11" spans="1:3">
      <c r="A11" s="14">
        <v>7</v>
      </c>
      <c r="B11" s="14" t="s">
        <v>228</v>
      </c>
      <c r="C11" s="3">
        <v>10</v>
      </c>
    </row>
    <row r="12" spans="1:3">
      <c r="A12" s="14">
        <v>8</v>
      </c>
      <c r="B12" s="14" t="s">
        <v>229</v>
      </c>
      <c r="C12" s="3">
        <v>7</v>
      </c>
    </row>
    <row r="13" spans="1:3">
      <c r="A13" s="14">
        <v>9</v>
      </c>
      <c r="B13" s="14" t="s">
        <v>230</v>
      </c>
      <c r="C13" s="3">
        <v>1</v>
      </c>
    </row>
    <row r="14" spans="1:3">
      <c r="A14" s="14">
        <v>10</v>
      </c>
      <c r="B14" s="14" t="s">
        <v>231</v>
      </c>
      <c r="C14" s="3">
        <v>2</v>
      </c>
    </row>
    <row r="15" spans="1:3">
      <c r="A15" s="14">
        <v>11</v>
      </c>
      <c r="B15" s="14" t="s">
        <v>232</v>
      </c>
      <c r="C15" s="3">
        <v>1</v>
      </c>
    </row>
    <row r="16" spans="1:3">
      <c r="A16" s="14">
        <v>12</v>
      </c>
      <c r="B16" s="14" t="s">
        <v>233</v>
      </c>
      <c r="C16" s="3">
        <v>2</v>
      </c>
    </row>
    <row r="17" spans="1:3">
      <c r="A17" s="14">
        <v>13</v>
      </c>
      <c r="B17" s="14" t="s">
        <v>234</v>
      </c>
      <c r="C17" s="3">
        <v>1</v>
      </c>
    </row>
    <row r="18" spans="1:3">
      <c r="A18" s="14">
        <v>14</v>
      </c>
      <c r="B18" s="14" t="s">
        <v>235</v>
      </c>
      <c r="C18" s="3">
        <v>20</v>
      </c>
    </row>
    <row r="19" spans="1:3">
      <c r="A19" s="14">
        <v>15</v>
      </c>
      <c r="B19" s="14" t="s">
        <v>236</v>
      </c>
      <c r="C19" s="3">
        <v>14</v>
      </c>
    </row>
    <row r="20" spans="1:3">
      <c r="A20" s="14">
        <v>16</v>
      </c>
      <c r="B20" s="14" t="s">
        <v>237</v>
      </c>
      <c r="C20" s="3">
        <v>1</v>
      </c>
    </row>
    <row r="21" spans="1:3">
      <c r="A21" s="14">
        <v>17</v>
      </c>
      <c r="B21" s="14" t="s">
        <v>238</v>
      </c>
      <c r="C21" s="3">
        <v>1</v>
      </c>
    </row>
    <row r="22" spans="1:3">
      <c r="A22" s="14">
        <v>18</v>
      </c>
      <c r="B22" s="14" t="s">
        <v>239</v>
      </c>
      <c r="C22" s="3">
        <v>2</v>
      </c>
    </row>
    <row r="23" spans="1:3">
      <c r="A23" s="14">
        <v>19</v>
      </c>
      <c r="B23" s="14" t="s">
        <v>240</v>
      </c>
      <c r="C23" s="3">
        <v>1</v>
      </c>
    </row>
    <row r="24" spans="1:3">
      <c r="A24" s="14">
        <v>20</v>
      </c>
      <c r="B24" s="14" t="s">
        <v>241</v>
      </c>
      <c r="C24" s="3">
        <v>8</v>
      </c>
    </row>
    <row r="25" spans="1:3">
      <c r="A25" s="14">
        <v>21</v>
      </c>
      <c r="B25" s="14" t="s">
        <v>242</v>
      </c>
      <c r="C25" s="3">
        <v>2</v>
      </c>
    </row>
    <row r="26" spans="1:3">
      <c r="A26" s="14">
        <v>22</v>
      </c>
      <c r="B26" s="14" t="s">
        <v>243</v>
      </c>
      <c r="C26" s="3">
        <v>1</v>
      </c>
    </row>
    <row r="27" spans="1:3">
      <c r="A27" s="14">
        <v>23</v>
      </c>
      <c r="B27" s="14" t="s">
        <v>244</v>
      </c>
      <c r="C27" s="3" t="s">
        <v>245</v>
      </c>
    </row>
    <row r="28" spans="1:3">
      <c r="A28" s="14">
        <v>24</v>
      </c>
      <c r="B28" s="14" t="s">
        <v>246</v>
      </c>
      <c r="C28" s="3">
        <v>1</v>
      </c>
    </row>
    <row r="29" spans="1:3">
      <c r="A29" s="14">
        <v>25</v>
      </c>
      <c r="B29" s="14" t="s">
        <v>247</v>
      </c>
      <c r="C29" s="3">
        <v>1</v>
      </c>
    </row>
    <row r="30" spans="1:3">
      <c r="A30" s="14">
        <v>26</v>
      </c>
      <c r="B30" s="14" t="s">
        <v>248</v>
      </c>
      <c r="C30" s="3">
        <v>4</v>
      </c>
    </row>
    <row r="31" spans="1:3">
      <c r="A31" s="14">
        <v>27</v>
      </c>
      <c r="B31" s="14" t="s">
        <v>249</v>
      </c>
      <c r="C31" s="3">
        <v>11</v>
      </c>
    </row>
    <row r="32" spans="1:3">
      <c r="A32" s="14">
        <v>28</v>
      </c>
      <c r="B32" s="14" t="s">
        <v>250</v>
      </c>
      <c r="C32" s="3">
        <v>1</v>
      </c>
    </row>
    <row r="33" spans="1:3">
      <c r="A33" s="14">
        <v>29</v>
      </c>
      <c r="B33" s="14" t="s">
        <v>251</v>
      </c>
      <c r="C33" s="3">
        <v>1</v>
      </c>
    </row>
    <row r="34" spans="1:3">
      <c r="A34" s="14">
        <v>30</v>
      </c>
      <c r="B34" s="14" t="s">
        <v>252</v>
      </c>
      <c r="C34" s="3">
        <v>4</v>
      </c>
    </row>
    <row r="35" spans="1:3">
      <c r="A35" s="14">
        <v>31</v>
      </c>
      <c r="B35" s="14" t="s">
        <v>253</v>
      </c>
      <c r="C35" s="3">
        <v>1</v>
      </c>
    </row>
    <row r="36" spans="1:3">
      <c r="A36" s="14">
        <v>32</v>
      </c>
      <c r="B36" s="14" t="s">
        <v>254</v>
      </c>
      <c r="C36" s="3">
        <v>1</v>
      </c>
    </row>
    <row r="37" spans="1:3">
      <c r="A37" s="14">
        <v>33</v>
      </c>
      <c r="B37" s="14" t="s">
        <v>255</v>
      </c>
      <c r="C37" s="3">
        <v>1</v>
      </c>
    </row>
    <row r="38" spans="1:3">
      <c r="A38" s="14">
        <v>34</v>
      </c>
      <c r="B38" s="14" t="s">
        <v>256</v>
      </c>
      <c r="C38" s="3">
        <v>5</v>
      </c>
    </row>
    <row r="39" spans="1:3">
      <c r="A39" s="14">
        <v>35</v>
      </c>
      <c r="B39" s="14" t="s">
        <v>257</v>
      </c>
      <c r="C39" s="3">
        <v>32</v>
      </c>
    </row>
    <row r="40" spans="1:3">
      <c r="A40" s="14">
        <v>36</v>
      </c>
      <c r="B40" s="14" t="s">
        <v>258</v>
      </c>
      <c r="C40" s="3">
        <v>18</v>
      </c>
    </row>
    <row r="41" spans="1:3">
      <c r="A41" s="14">
        <v>37</v>
      </c>
      <c r="B41" s="14" t="s">
        <v>259</v>
      </c>
      <c r="C41" s="3">
        <v>6</v>
      </c>
    </row>
    <row r="42" spans="1:3">
      <c r="A42" s="14">
        <v>38</v>
      </c>
      <c r="B42" s="14" t="s">
        <v>260</v>
      </c>
      <c r="C42" s="3">
        <v>2</v>
      </c>
    </row>
    <row r="43" spans="1:3">
      <c r="A43" s="14">
        <v>39</v>
      </c>
      <c r="B43" s="14" t="s">
        <v>261</v>
      </c>
      <c r="C43" s="3">
        <v>4</v>
      </c>
    </row>
    <row r="44" spans="1:3">
      <c r="A44" s="14">
        <v>40</v>
      </c>
      <c r="B44" s="14" t="s">
        <v>262</v>
      </c>
      <c r="C44" s="3">
        <v>2</v>
      </c>
    </row>
    <row r="45" spans="1:3">
      <c r="A45" s="14">
        <v>41</v>
      </c>
      <c r="B45" s="14" t="s">
        <v>263</v>
      </c>
      <c r="C45" s="3">
        <v>2</v>
      </c>
    </row>
    <row r="46" spans="1:3">
      <c r="A46" s="14">
        <v>42</v>
      </c>
      <c r="B46" s="14" t="s">
        <v>264</v>
      </c>
      <c r="C46" s="3">
        <v>3</v>
      </c>
    </row>
    <row r="47" spans="1:3">
      <c r="A47" s="14">
        <v>43</v>
      </c>
      <c r="B47" s="14" t="s">
        <v>265</v>
      </c>
      <c r="C47" s="3">
        <v>2</v>
      </c>
    </row>
    <row r="48" spans="1:3">
      <c r="A48" s="14">
        <v>44</v>
      </c>
      <c r="B48" s="14" t="s">
        <v>266</v>
      </c>
      <c r="C48" s="3">
        <v>3</v>
      </c>
    </row>
    <row r="49" spans="1:3">
      <c r="A49" s="14">
        <v>45</v>
      </c>
      <c r="B49" s="14" t="s">
        <v>267</v>
      </c>
      <c r="C49" s="3">
        <v>2</v>
      </c>
    </row>
    <row r="50" spans="1:3">
      <c r="A50" s="14">
        <v>46</v>
      </c>
      <c r="B50" s="14" t="s">
        <v>268</v>
      </c>
      <c r="C50" s="3">
        <v>1</v>
      </c>
    </row>
    <row r="51" spans="1:3">
      <c r="A51" s="14">
        <v>47</v>
      </c>
      <c r="B51" s="14" t="s">
        <v>269</v>
      </c>
      <c r="C51" s="3" t="s">
        <v>222</v>
      </c>
    </row>
    <row r="52" spans="1:3">
      <c r="A52" s="14">
        <v>48</v>
      </c>
      <c r="B52" s="14" t="s">
        <v>270</v>
      </c>
      <c r="C52" s="3">
        <v>2</v>
      </c>
    </row>
    <row r="53" spans="1:3">
      <c r="A53" s="2"/>
      <c r="B53" s="2"/>
      <c r="C53" s="2"/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A107-AF12-4FB6-B004-D1CDCFE0F9A0}">
  <dimension ref="A2:C67"/>
  <sheetViews>
    <sheetView topLeftCell="A7" workbookViewId="0">
      <selection activeCell="C10" sqref="C10"/>
    </sheetView>
  </sheetViews>
  <sheetFormatPr defaultRowHeight="14.5"/>
  <cols>
    <col min="1" max="1" width="56.453125" customWidth="1"/>
    <col min="2" max="2" width="27.1796875" customWidth="1"/>
    <col min="3" max="3" width="36.54296875" customWidth="1"/>
  </cols>
  <sheetData>
    <row r="2" spans="1:3">
      <c r="A2" s="1" t="s">
        <v>691</v>
      </c>
    </row>
    <row r="3" spans="1:3">
      <c r="A3" s="1" t="s">
        <v>692</v>
      </c>
    </row>
    <row r="4" spans="1:3">
      <c r="A4" s="1"/>
    </row>
    <row r="5" spans="1:3">
      <c r="A5" s="1" t="s">
        <v>1</v>
      </c>
      <c r="B5" s="1" t="s">
        <v>693</v>
      </c>
    </row>
    <row r="6" spans="1:3">
      <c r="A6" s="3"/>
      <c r="B6" s="3"/>
      <c r="C6" s="3"/>
    </row>
    <row r="7" spans="1:3">
      <c r="A7" s="3" t="s">
        <v>694</v>
      </c>
      <c r="B7" s="3"/>
      <c r="C7" s="3"/>
    </row>
    <row r="8" spans="1:3">
      <c r="A8" s="2" t="s">
        <v>695</v>
      </c>
      <c r="B8" s="3">
        <v>7</v>
      </c>
      <c r="C8" s="3" t="s">
        <v>696</v>
      </c>
    </row>
    <row r="9" spans="1:3">
      <c r="A9" s="2" t="s">
        <v>697</v>
      </c>
      <c r="B9" s="3">
        <v>6</v>
      </c>
      <c r="C9" s="3" t="s">
        <v>696</v>
      </c>
    </row>
    <row r="10" spans="1:3">
      <c r="A10" s="2" t="s">
        <v>698</v>
      </c>
      <c r="B10" s="3">
        <v>6</v>
      </c>
      <c r="C10" s="3" t="s">
        <v>696</v>
      </c>
    </row>
    <row r="11" spans="1:3">
      <c r="A11" s="2" t="s">
        <v>699</v>
      </c>
      <c r="B11" s="3">
        <v>6</v>
      </c>
      <c r="C11" s="3" t="s">
        <v>696</v>
      </c>
    </row>
    <row r="12" spans="1:3">
      <c r="A12" s="2" t="s">
        <v>700</v>
      </c>
      <c r="B12" s="3">
        <v>3</v>
      </c>
      <c r="C12" s="3" t="s">
        <v>696</v>
      </c>
    </row>
    <row r="13" spans="1:3">
      <c r="A13" s="2"/>
      <c r="B13" s="3"/>
      <c r="C13" s="3"/>
    </row>
    <row r="14" spans="1:3">
      <c r="A14" s="2" t="s">
        <v>701</v>
      </c>
      <c r="B14" s="3">
        <v>3</v>
      </c>
      <c r="C14" s="3" t="s">
        <v>702</v>
      </c>
    </row>
    <row r="15" spans="1:3">
      <c r="A15" s="2" t="s">
        <v>703</v>
      </c>
      <c r="B15" s="3">
        <v>1</v>
      </c>
      <c r="C15" s="3" t="s">
        <v>702</v>
      </c>
    </row>
    <row r="16" spans="1:3">
      <c r="A16" s="2" t="s">
        <v>704</v>
      </c>
      <c r="B16" s="3">
        <v>1</v>
      </c>
      <c r="C16" s="3" t="s">
        <v>696</v>
      </c>
    </row>
    <row r="17" spans="1:3">
      <c r="A17" s="2" t="s">
        <v>705</v>
      </c>
      <c r="B17" s="3">
        <v>1</v>
      </c>
      <c r="C17" s="3" t="s">
        <v>696</v>
      </c>
    </row>
    <row r="18" spans="1:3">
      <c r="A18" s="2" t="s">
        <v>706</v>
      </c>
      <c r="B18" s="3">
        <v>1</v>
      </c>
      <c r="C18" s="3" t="s">
        <v>567</v>
      </c>
    </row>
    <row r="19" spans="1:3">
      <c r="A19" s="2" t="s">
        <v>707</v>
      </c>
      <c r="B19" s="3">
        <v>1</v>
      </c>
      <c r="C19" s="3" t="s">
        <v>567</v>
      </c>
    </row>
    <row r="20" spans="1:3">
      <c r="A20" s="2" t="s">
        <v>682</v>
      </c>
      <c r="B20" s="3">
        <v>1</v>
      </c>
      <c r="C20" s="3" t="s">
        <v>696</v>
      </c>
    </row>
    <row r="21" spans="1:3">
      <c r="A21" s="2" t="s">
        <v>708</v>
      </c>
      <c r="B21" s="3">
        <v>1</v>
      </c>
      <c r="C21" s="3" t="s">
        <v>696</v>
      </c>
    </row>
    <row r="22" spans="1:3">
      <c r="A22" s="2" t="s">
        <v>709</v>
      </c>
      <c r="B22" s="3">
        <v>1</v>
      </c>
      <c r="C22" s="3" t="s">
        <v>696</v>
      </c>
    </row>
    <row r="23" spans="1:3">
      <c r="A23" s="2" t="s">
        <v>710</v>
      </c>
      <c r="B23" s="3">
        <v>3</v>
      </c>
      <c r="C23" s="3" t="s">
        <v>711</v>
      </c>
    </row>
    <row r="24" spans="1:3">
      <c r="A24" s="2"/>
      <c r="B24" s="3"/>
      <c r="C24" s="3"/>
    </row>
    <row r="25" spans="1:3">
      <c r="A25" s="2" t="s">
        <v>27</v>
      </c>
      <c r="B25" s="3"/>
      <c r="C25" s="3"/>
    </row>
    <row r="26" spans="1:3">
      <c r="A26" s="2" t="s">
        <v>712</v>
      </c>
      <c r="B26" s="3">
        <v>1</v>
      </c>
      <c r="C26" s="3" t="s">
        <v>702</v>
      </c>
    </row>
    <row r="27" spans="1:3">
      <c r="A27" s="2" t="s">
        <v>713</v>
      </c>
      <c r="B27" s="3">
        <v>6</v>
      </c>
      <c r="C27" s="3" t="s">
        <v>696</v>
      </c>
    </row>
    <row r="28" spans="1:3">
      <c r="A28" s="2" t="s">
        <v>714</v>
      </c>
      <c r="B28" s="3">
        <v>1</v>
      </c>
      <c r="C28" s="3" t="s">
        <v>702</v>
      </c>
    </row>
    <row r="29" spans="1:3">
      <c r="A29" s="2" t="s">
        <v>715</v>
      </c>
      <c r="B29" s="3">
        <v>2</v>
      </c>
      <c r="C29" s="3" t="s">
        <v>696</v>
      </c>
    </row>
    <row r="30" spans="1:3">
      <c r="A30" s="2" t="s">
        <v>716</v>
      </c>
      <c r="B30" s="3">
        <v>3</v>
      </c>
      <c r="C30" s="3" t="s">
        <v>696</v>
      </c>
    </row>
    <row r="31" spans="1:3">
      <c r="A31" s="2" t="s">
        <v>717</v>
      </c>
      <c r="B31" s="3">
        <v>5</v>
      </c>
      <c r="C31" s="3" t="s">
        <v>702</v>
      </c>
    </row>
    <row r="32" spans="1:3">
      <c r="A32" s="2" t="s">
        <v>718</v>
      </c>
      <c r="B32" s="3">
        <v>1</v>
      </c>
      <c r="C32" s="3" t="s">
        <v>696</v>
      </c>
    </row>
    <row r="33" spans="1:3">
      <c r="A33" s="2" t="s">
        <v>719</v>
      </c>
      <c r="B33" s="3">
        <v>3</v>
      </c>
      <c r="C33" s="3" t="s">
        <v>696</v>
      </c>
    </row>
    <row r="34" spans="1:3">
      <c r="A34" s="2" t="s">
        <v>7</v>
      </c>
      <c r="B34" s="3">
        <v>1</v>
      </c>
      <c r="C34" s="3" t="s">
        <v>702</v>
      </c>
    </row>
    <row r="35" spans="1:3">
      <c r="A35" s="2" t="s">
        <v>720</v>
      </c>
      <c r="B35" s="3">
        <v>2</v>
      </c>
      <c r="C35" s="3" t="s">
        <v>567</v>
      </c>
    </row>
    <row r="36" spans="1:3">
      <c r="A36" s="2" t="s">
        <v>721</v>
      </c>
      <c r="B36" s="3">
        <v>4</v>
      </c>
      <c r="C36" s="3" t="s">
        <v>696</v>
      </c>
    </row>
    <row r="37" spans="1:3">
      <c r="A37" s="2" t="s">
        <v>722</v>
      </c>
      <c r="B37" s="3">
        <v>6</v>
      </c>
      <c r="C37" s="3" t="s">
        <v>696</v>
      </c>
    </row>
    <row r="38" spans="1:3">
      <c r="A38" s="2" t="s">
        <v>723</v>
      </c>
      <c r="B38" s="3">
        <v>5</v>
      </c>
      <c r="C38" s="3" t="s">
        <v>702</v>
      </c>
    </row>
    <row r="39" spans="1:3">
      <c r="A39" s="2" t="s">
        <v>724</v>
      </c>
      <c r="B39" s="3">
        <v>2</v>
      </c>
      <c r="C39" s="3" t="s">
        <v>696</v>
      </c>
    </row>
    <row r="40" spans="1:3">
      <c r="A40" s="2" t="s">
        <v>9</v>
      </c>
      <c r="B40" s="3">
        <v>2</v>
      </c>
      <c r="C40" s="3" t="s">
        <v>696</v>
      </c>
    </row>
    <row r="41" spans="1:3">
      <c r="A41" s="2" t="s">
        <v>725</v>
      </c>
      <c r="B41" s="3">
        <v>1</v>
      </c>
      <c r="C41" s="3" t="s">
        <v>696</v>
      </c>
    </row>
    <row r="42" spans="1:3">
      <c r="A42" s="2" t="s">
        <v>726</v>
      </c>
      <c r="B42" s="3">
        <v>1</v>
      </c>
      <c r="C42" s="3" t="s">
        <v>696</v>
      </c>
    </row>
    <row r="43" spans="1:3">
      <c r="A43" s="2" t="s">
        <v>727</v>
      </c>
      <c r="B43" s="3">
        <v>1</v>
      </c>
      <c r="C43" s="3" t="s">
        <v>711</v>
      </c>
    </row>
    <row r="44" spans="1:3">
      <c r="A44" s="2" t="s">
        <v>728</v>
      </c>
      <c r="B44" s="3">
        <v>4</v>
      </c>
      <c r="C44" s="3" t="s">
        <v>711</v>
      </c>
    </row>
    <row r="45" spans="1:3">
      <c r="A45" s="2" t="s">
        <v>729</v>
      </c>
      <c r="B45" s="3">
        <v>4</v>
      </c>
      <c r="C45" s="3" t="s">
        <v>730</v>
      </c>
    </row>
    <row r="46" spans="1:3">
      <c r="A46" s="2" t="s">
        <v>731</v>
      </c>
      <c r="B46" s="3">
        <v>1</v>
      </c>
      <c r="C46" s="3" t="s">
        <v>696</v>
      </c>
    </row>
    <row r="47" spans="1:3">
      <c r="A47" s="2" t="s">
        <v>732</v>
      </c>
      <c r="B47" s="3">
        <v>3</v>
      </c>
      <c r="C47" s="3" t="s">
        <v>696</v>
      </c>
    </row>
    <row r="48" spans="1:3">
      <c r="A48" s="2" t="s">
        <v>733</v>
      </c>
      <c r="B48" s="3">
        <v>4</v>
      </c>
      <c r="C48" s="3" t="s">
        <v>567</v>
      </c>
    </row>
    <row r="49" spans="1:3">
      <c r="A49" s="2" t="s">
        <v>734</v>
      </c>
      <c r="B49" s="3">
        <v>1</v>
      </c>
      <c r="C49" s="3" t="s">
        <v>696</v>
      </c>
    </row>
    <row r="50" spans="1:3">
      <c r="A50" s="2" t="s">
        <v>735</v>
      </c>
      <c r="B50" s="3">
        <v>26</v>
      </c>
      <c r="C50" s="3" t="s">
        <v>702</v>
      </c>
    </row>
    <row r="51" spans="1:3">
      <c r="A51" s="2" t="s">
        <v>736</v>
      </c>
      <c r="B51" s="3">
        <v>17</v>
      </c>
      <c r="C51" s="3" t="s">
        <v>696</v>
      </c>
    </row>
    <row r="52" spans="1:3">
      <c r="A52" s="2" t="s">
        <v>737</v>
      </c>
      <c r="B52" s="3">
        <v>1</v>
      </c>
      <c r="C52" s="3" t="s">
        <v>696</v>
      </c>
    </row>
    <row r="53" spans="1:3">
      <c r="A53" s="2" t="s">
        <v>738</v>
      </c>
      <c r="B53" s="3">
        <v>2</v>
      </c>
      <c r="C53" s="3" t="s">
        <v>739</v>
      </c>
    </row>
    <row r="54" spans="1:3">
      <c r="A54" s="2" t="s">
        <v>740</v>
      </c>
      <c r="B54" s="3">
        <v>1</v>
      </c>
      <c r="C54" s="3" t="s">
        <v>696</v>
      </c>
    </row>
    <row r="55" spans="1:3">
      <c r="A55" s="2" t="s">
        <v>741</v>
      </c>
      <c r="B55" s="3">
        <v>1</v>
      </c>
      <c r="C55" s="3" t="s">
        <v>696</v>
      </c>
    </row>
    <row r="56" spans="1:3">
      <c r="A56" s="2" t="s">
        <v>742</v>
      </c>
      <c r="B56" s="3">
        <v>1</v>
      </c>
      <c r="C56" s="3" t="s">
        <v>702</v>
      </c>
    </row>
    <row r="57" spans="1:3">
      <c r="A57" s="2" t="s">
        <v>743</v>
      </c>
      <c r="B57" s="3">
        <v>1</v>
      </c>
      <c r="C57" s="3" t="s">
        <v>702</v>
      </c>
    </row>
    <row r="58" spans="1:3">
      <c r="A58" s="2" t="s">
        <v>744</v>
      </c>
      <c r="B58" s="3">
        <v>11</v>
      </c>
      <c r="C58" s="3" t="s">
        <v>702</v>
      </c>
    </row>
    <row r="59" spans="1:3">
      <c r="A59" s="2" t="s">
        <v>745</v>
      </c>
      <c r="B59" s="3">
        <v>1</v>
      </c>
      <c r="C59" s="3" t="s">
        <v>702</v>
      </c>
    </row>
    <row r="60" spans="1:3">
      <c r="A60" s="2" t="s">
        <v>746</v>
      </c>
      <c r="B60" s="3">
        <v>1</v>
      </c>
      <c r="C60" s="3" t="s">
        <v>747</v>
      </c>
    </row>
    <row r="61" spans="1:3">
      <c r="A61" s="2"/>
      <c r="B61" s="3"/>
      <c r="C61" s="3"/>
    </row>
    <row r="62" spans="1:3">
      <c r="A62" s="2" t="s">
        <v>748</v>
      </c>
      <c r="B62" s="3">
        <v>169</v>
      </c>
      <c r="C62" s="3"/>
    </row>
    <row r="63" spans="1:3">
      <c r="A63" s="2"/>
      <c r="B63" s="3"/>
      <c r="C63" s="3"/>
    </row>
    <row r="64" spans="1:3">
      <c r="A64" s="2"/>
      <c r="B64" s="3"/>
      <c r="C64" s="3"/>
    </row>
    <row r="65" spans="1:3">
      <c r="A65" s="2"/>
      <c r="B65" s="3"/>
      <c r="C65" s="3"/>
    </row>
    <row r="66" spans="1:3">
      <c r="A66" s="2"/>
      <c r="B66" s="3"/>
      <c r="C66" s="3"/>
    </row>
    <row r="67" spans="1:3">
      <c r="A67" s="2"/>
      <c r="B67" s="3"/>
      <c r="C6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Sunter1</vt:lpstr>
      <vt:lpstr>SUNTER3</vt:lpstr>
      <vt:lpstr>Sunter4</vt:lpstr>
      <vt:lpstr>T Duren</vt:lpstr>
      <vt:lpstr>R Saleh</vt:lpstr>
      <vt:lpstr>Lebak Bulus</vt:lpstr>
      <vt:lpstr>Alam Sutra</vt:lpstr>
      <vt:lpstr>BSD</vt:lpstr>
      <vt:lpstr>CIKUPA</vt:lpstr>
      <vt:lpstr>Galuhmas</vt:lpstr>
      <vt:lpstr>PIK2</vt:lpstr>
      <vt:lpstr>'Lebak Bulus'!Print_Area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Yellow Sunter 3</dc:creator>
  <cp:lastModifiedBy>Santi Yellow</cp:lastModifiedBy>
  <dcterms:created xsi:type="dcterms:W3CDTF">2026-08-23T05:28:26Z</dcterms:created>
  <dcterms:modified xsi:type="dcterms:W3CDTF">2026-08-26T16:28:04Z</dcterms:modified>
</cp:coreProperties>
</file>